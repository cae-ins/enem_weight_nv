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.migone\Desktop\ENE_SURVEY_WEIGHTS\scripts\04_calibration\QUARTERLY_WEIGHTING\2025\T1\444X_1D\"/>
    </mc:Choice>
  </mc:AlternateContent>
  <xr:revisionPtr revIDLastSave="0" documentId="13_ncr:1_{020B3D4A-6C94-4526-B99B-4C94896EAA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del_444X_1D orizon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53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" i="1"/>
</calcChain>
</file>

<file path=xl/sharedStrings.xml><?xml version="1.0" encoding="utf-8"?>
<sst xmlns="http://schemas.openxmlformats.org/spreadsheetml/2006/main" count="1784" uniqueCount="501">
  <si>
    <t>set 444X_1D  (444 Constraints and 1 Domains)</t>
  </si>
  <si>
    <t>Domain</t>
  </si>
  <si>
    <t>Région (33)</t>
  </si>
  <si>
    <t>Sexe</t>
  </si>
  <si>
    <t>Milieu</t>
  </si>
  <si>
    <t>groupe_age</t>
  </si>
  <si>
    <t>Nombre</t>
  </si>
  <si>
    <t>ABIDJAN</t>
  </si>
  <si>
    <t>0_14</t>
  </si>
  <si>
    <t>15_34</t>
  </si>
  <si>
    <t>35_plus</t>
  </si>
  <si>
    <t>HAUT-SASSANDRA</t>
  </si>
  <si>
    <t>PORO</t>
  </si>
  <si>
    <t>GBEKE</t>
  </si>
  <si>
    <t>INDENIE-DJUABLIN</t>
  </si>
  <si>
    <t>TONKPI</t>
  </si>
  <si>
    <t>YAMOUSSOUKRO</t>
  </si>
  <si>
    <t>GONTOUGO</t>
  </si>
  <si>
    <t>SAN-PEDRO</t>
  </si>
  <si>
    <t>KABADOUGOU</t>
  </si>
  <si>
    <t>N'ZI</t>
  </si>
  <si>
    <t>MARAHOUE</t>
  </si>
  <si>
    <t>SUD-COMOE</t>
  </si>
  <si>
    <t>WORODOUGOU</t>
  </si>
  <si>
    <t>LÔH-DJIBOUA</t>
  </si>
  <si>
    <t>AGNEBY-TIASSA</t>
  </si>
  <si>
    <t>GÔH</t>
  </si>
  <si>
    <t>CAVALLY</t>
  </si>
  <si>
    <t>BAFING</t>
  </si>
  <si>
    <t>BAGOUE</t>
  </si>
  <si>
    <t>BELIER</t>
  </si>
  <si>
    <t>BERE</t>
  </si>
  <si>
    <t>BOUNKANI</t>
  </si>
  <si>
    <t>FOLON</t>
  </si>
  <si>
    <t>GBOKLE</t>
  </si>
  <si>
    <t>GRAND-PONTS</t>
  </si>
  <si>
    <t>GUEMON</t>
  </si>
  <si>
    <t>HAMBOL</t>
  </si>
  <si>
    <t>IFFOU</t>
  </si>
  <si>
    <t>LA ME</t>
  </si>
  <si>
    <t>NAWA</t>
  </si>
  <si>
    <t>TCHOLOGO</t>
  </si>
  <si>
    <t>MORONOU</t>
  </si>
  <si>
    <t>NATIONAL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</si>
  <si>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</si>
  <si>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</si>
  <si>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</si>
  <si>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</si>
  <si>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</si>
  <si>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</si>
  <si>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</si>
  <si>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</si>
  <si>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</si>
  <si>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</si>
  <si>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65_plus</t>
  </si>
  <si>
    <t>"</t>
  </si>
  <si>
    <t>X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</si>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</sst>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36"/>
      <color rgb="FF000000"/>
      <name val="Calibri"/>
    </font>
    <font>
      <sz val="11"/>
      <name val="Calibri"/>
    </font>
    <font>
      <b/>
      <sz val="16"/>
      <color theme="1"/>
      <name val="Montserrat"/>
    </font>
    <font>
      <b/>
      <sz val="16"/>
      <color rgb="FF000000"/>
      <name val="Montserrat"/>
    </font>
    <font>
      <b/>
      <sz val="16"/>
      <color rgb="FF222A35"/>
      <name val="Montserrat"/>
    </font>
    <font>
      <sz val="12"/>
      <color theme="1"/>
      <name val="Montserrat"/>
    </font>
    <font>
      <b/>
      <sz val="12"/>
      <color rgb="FF000000"/>
      <name val="Montserrat"/>
    </font>
    <font>
      <b/>
      <sz val="12"/>
      <color rgb="FF222A35"/>
      <name val="Montserrat"/>
    </font>
    <font>
      <b/>
      <sz val="12"/>
      <color theme="1"/>
      <name val="Montserrat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BE4D5"/>
        <bgColor rgb="FFFBE4D5"/>
      </patternFill>
    </fill>
    <fill>
      <patternFill patternType="solid">
        <fgColor rgb="FFD9D2E9"/>
        <bgColor rgb="FFD9D2E9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4" fillId="0" borderId="3" xfId="0" applyFont="1" applyBorder="1"/>
    <xf numFmtId="0" fontId="5" fillId="3" borderId="3" xfId="0" applyFont="1" applyFill="1" applyBorder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/>
    <xf numFmtId="0" fontId="8" fillId="5" borderId="3" xfId="0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 wrapText="1"/>
    </xf>
    <xf numFmtId="49" fontId="9" fillId="4" borderId="3" xfId="0" applyNumberFormat="1" applyFont="1" applyFill="1" applyBorder="1" applyAlignment="1">
      <alignment horizontal="center" vertical="center" wrapText="1"/>
    </xf>
    <xf numFmtId="164" fontId="9" fillId="4" borderId="3" xfId="0" applyNumberFormat="1" applyFont="1" applyFill="1" applyBorder="1" applyAlignment="1">
      <alignment horizontal="center" vertical="center" wrapText="1"/>
    </xf>
    <xf numFmtId="1" fontId="10" fillId="6" borderId="3" xfId="0" applyNumberFormat="1" applyFont="1" applyFill="1" applyBorder="1" applyAlignment="1">
      <alignment horizontal="center" vertical="center" wrapText="1"/>
    </xf>
    <xf numFmtId="49" fontId="10" fillId="6" borderId="3" xfId="0" applyNumberFormat="1" applyFont="1" applyFill="1" applyBorder="1" applyAlignment="1">
      <alignment horizontal="center" vertical="center" wrapText="1"/>
    </xf>
    <xf numFmtId="164" fontId="10" fillId="6" borderId="3" xfId="0" applyNumberFormat="1" applyFont="1" applyFill="1" applyBorder="1" applyAlignment="1">
      <alignment horizontal="center" vertical="center" wrapText="1"/>
    </xf>
    <xf numFmtId="1" fontId="10" fillId="7" borderId="3" xfId="0" applyNumberFormat="1" applyFont="1" applyFill="1" applyBorder="1" applyAlignment="1">
      <alignment horizontal="center" vertical="center" wrapText="1"/>
    </xf>
    <xf numFmtId="49" fontId="10" fillId="7" borderId="3" xfId="0" applyNumberFormat="1" applyFont="1" applyFill="1" applyBorder="1" applyAlignment="1">
      <alignment horizontal="center" vertical="center" wrapText="1"/>
    </xf>
    <xf numFmtId="164" fontId="10" fillId="7" borderId="3" xfId="0" applyNumberFormat="1" applyFont="1" applyFill="1" applyBorder="1" applyAlignment="1">
      <alignment horizontal="center" vertical="center" wrapText="1"/>
    </xf>
    <xf numFmtId="1" fontId="9" fillId="8" borderId="3" xfId="0" applyNumberFormat="1" applyFont="1" applyFill="1" applyBorder="1" applyAlignment="1">
      <alignment horizontal="center" vertical="center" wrapText="1"/>
    </xf>
    <xf numFmtId="49" fontId="9" fillId="8" borderId="3" xfId="0" applyNumberFormat="1" applyFont="1" applyFill="1" applyBorder="1" applyAlignment="1">
      <alignment horizontal="center" vertical="center" wrapText="1"/>
    </xf>
    <xf numFmtId="164" fontId="9" fillId="8" borderId="3" xfId="0" applyNumberFormat="1" applyFont="1" applyFill="1" applyBorder="1" applyAlignment="1">
      <alignment horizontal="center" vertical="center" wrapText="1"/>
    </xf>
    <xf numFmtId="1" fontId="9" fillId="7" borderId="3" xfId="0" applyNumberFormat="1" applyFont="1" applyFill="1" applyBorder="1" applyAlignment="1">
      <alignment horizontal="center" vertical="center" wrapText="1"/>
    </xf>
    <xf numFmtId="49" fontId="9" fillId="7" borderId="3" xfId="0" applyNumberFormat="1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1" fontId="10" fillId="8" borderId="3" xfId="0" applyNumberFormat="1" applyFont="1" applyFill="1" applyBorder="1" applyAlignment="1">
      <alignment horizontal="center" vertical="center" wrapText="1"/>
    </xf>
    <xf numFmtId="49" fontId="10" fillId="8" borderId="3" xfId="0" applyNumberFormat="1" applyFont="1" applyFill="1" applyBorder="1" applyAlignment="1">
      <alignment horizontal="center" vertical="center" wrapText="1"/>
    </xf>
    <xf numFmtId="164" fontId="10" fillId="8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E416" workbookViewId="0">
      <selection activeCell="I416" sqref="I416"/>
    </sheetView>
  </sheetViews>
  <sheetFormatPr baseColWidth="10" defaultColWidth="14.453125" defaultRowHeight="15" customHeight="1" x14ac:dyDescent="0.35"/>
  <cols>
    <col min="1" max="1" width="4.81640625" bestFit="1" customWidth="1"/>
    <col min="2" max="2" width="13.453125" bestFit="1" customWidth="1"/>
    <col min="3" max="3" width="21.54296875" customWidth="1"/>
    <col min="4" max="5" width="79" customWidth="1"/>
    <col min="6" max="7" width="31.54296875" customWidth="1"/>
    <col min="8" max="27" width="13.453125" customWidth="1"/>
  </cols>
  <sheetData>
    <row r="1" spans="1:27" ht="48.75" customHeigh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48.75" customHeight="1" x14ac:dyDescent="0.35">
      <c r="B2" s="1"/>
      <c r="C2" s="27" t="s">
        <v>0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27" ht="48.75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4" x14ac:dyDescent="0.65">
      <c r="A4" t="s">
        <v>56</v>
      </c>
      <c r="B4" s="2" t="s">
        <v>1</v>
      </c>
      <c r="C4" s="3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5">
      <c r="A5" t="s">
        <v>57</v>
      </c>
      <c r="B5" s="7"/>
      <c r="C5" s="8" t="s">
        <v>43</v>
      </c>
      <c r="D5" s="9">
        <v>1</v>
      </c>
      <c r="E5" s="9">
        <v>1</v>
      </c>
      <c r="F5" s="10" t="s">
        <v>8</v>
      </c>
      <c r="G5" s="11"/>
      <c r="H5" s="1" t="s">
        <v>55</v>
      </c>
      <c r="I5" s="1" t="str">
        <f>"X_Summary_Table$X_Labels[X_Summary_Table$X_Constraints==" &amp; H5 &amp; A5 &amp; H5 &amp; "] &lt;- " &amp; H5 &amp; A5 &amp; ": " &amp; C5 &amp; " MILIEU " &amp; E5 &amp;" SEX " &amp; D5 &amp;" AGE "&amp; F5 &amp; H5</f>
        <v>X_Summary_Table$X_Labels[X_Summary_Table$X_Constraints=="X1"] &lt;- "X1: NATIONAL MILIEU 1 SEX 1 AGE 0_14"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5">
      <c r="A6" t="s">
        <v>58</v>
      </c>
      <c r="B6" s="7"/>
      <c r="C6" s="8" t="s">
        <v>43</v>
      </c>
      <c r="D6" s="9">
        <v>1</v>
      </c>
      <c r="E6" s="9">
        <v>1</v>
      </c>
      <c r="F6" s="10" t="s">
        <v>44</v>
      </c>
      <c r="G6" s="11"/>
      <c r="H6" s="1" t="s">
        <v>55</v>
      </c>
      <c r="I6" s="1" t="str">
        <f t="shared" ref="I6:I53" si="0">"X_Summary_Table$X_Labels[X_Summary_Table$X_Constraints==" &amp; H6 &amp; A6 &amp; H6 &amp; "] &lt;- " &amp; H6 &amp; A6 &amp; ": " &amp; C6 &amp; " MILIEU " &amp; E6 &amp;" SEX " &amp; D6 &amp;" AGE "&amp; F6 &amp; H6</f>
        <v>X_Summary_Table$X_Labels[X_Summary_Table$X_Constraints=="X2"] &lt;- "X2: NATIONAL MILIEU 1 SEX 1 AGE 15_19"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5">
      <c r="A7" t="s">
        <v>59</v>
      </c>
      <c r="B7" s="7"/>
      <c r="C7" s="8" t="s">
        <v>43</v>
      </c>
      <c r="D7" s="9">
        <v>1</v>
      </c>
      <c r="E7" s="9">
        <v>1</v>
      </c>
      <c r="F7" s="10" t="s">
        <v>45</v>
      </c>
      <c r="G7" s="11"/>
      <c r="H7" s="1" t="s">
        <v>55</v>
      </c>
      <c r="I7" s="1" t="str">
        <f t="shared" si="0"/>
        <v>X_Summary_Table$X_Labels[X_Summary_Table$X_Constraints=="X3"] &lt;- "X3: NATIONAL MILIEU 1 SEX 1 AGE 20_24"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5">
      <c r="A8" t="s">
        <v>60</v>
      </c>
      <c r="B8" s="7"/>
      <c r="C8" s="8" t="s">
        <v>43</v>
      </c>
      <c r="D8" s="9">
        <v>1</v>
      </c>
      <c r="E8" s="9">
        <v>1</v>
      </c>
      <c r="F8" s="10" t="s">
        <v>46</v>
      </c>
      <c r="G8" s="11"/>
      <c r="H8" s="1" t="s">
        <v>55</v>
      </c>
      <c r="I8" s="1" t="str">
        <f t="shared" si="0"/>
        <v>X_Summary_Table$X_Labels[X_Summary_Table$X_Constraints=="X4"] &lt;- "X4: NATIONAL MILIEU 1 SEX 1 AGE 25_29"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5">
      <c r="A9" t="s">
        <v>61</v>
      </c>
      <c r="B9" s="7"/>
      <c r="C9" s="8" t="s">
        <v>43</v>
      </c>
      <c r="D9" s="9">
        <v>1</v>
      </c>
      <c r="E9" s="9">
        <v>1</v>
      </c>
      <c r="F9" s="10" t="s">
        <v>47</v>
      </c>
      <c r="G9" s="11"/>
      <c r="H9" s="1" t="s">
        <v>55</v>
      </c>
      <c r="I9" s="1" t="str">
        <f t="shared" si="0"/>
        <v>X_Summary_Table$X_Labels[X_Summary_Table$X_Constraints=="X5"] &lt;- "X5: NATIONAL MILIEU 1 SEX 1 AGE 30_34"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5">
      <c r="A10" t="s">
        <v>62</v>
      </c>
      <c r="B10" s="7"/>
      <c r="C10" s="8" t="s">
        <v>43</v>
      </c>
      <c r="D10" s="9">
        <v>1</v>
      </c>
      <c r="E10" s="9">
        <v>1</v>
      </c>
      <c r="F10" s="10" t="s">
        <v>48</v>
      </c>
      <c r="G10" s="11"/>
      <c r="H10" s="1" t="s">
        <v>55</v>
      </c>
      <c r="I10" s="1" t="str">
        <f t="shared" si="0"/>
        <v>X_Summary_Table$X_Labels[X_Summary_Table$X_Constraints=="X6"] &lt;- "X6: NATIONAL MILIEU 1 SEX 1 AGE 35_39"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5">
      <c r="A11" t="s">
        <v>63</v>
      </c>
      <c r="B11" s="7"/>
      <c r="C11" s="8" t="s">
        <v>43</v>
      </c>
      <c r="D11" s="9">
        <v>1</v>
      </c>
      <c r="E11" s="9">
        <v>1</v>
      </c>
      <c r="F11" s="10" t="s">
        <v>49</v>
      </c>
      <c r="G11" s="11"/>
      <c r="H11" s="1" t="s">
        <v>55</v>
      </c>
      <c r="I11" s="1" t="str">
        <f t="shared" si="0"/>
        <v>X_Summary_Table$X_Labels[X_Summary_Table$X_Constraints=="X7"] &lt;- "X7: NATIONAL MILIEU 1 SEX 1 AGE 40_44"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5">
      <c r="A12" t="s">
        <v>64</v>
      </c>
      <c r="B12" s="7"/>
      <c r="C12" s="8" t="s">
        <v>43</v>
      </c>
      <c r="D12" s="9">
        <v>1</v>
      </c>
      <c r="E12" s="9">
        <v>1</v>
      </c>
      <c r="F12" s="10" t="s">
        <v>50</v>
      </c>
      <c r="G12" s="11"/>
      <c r="H12" s="1" t="s">
        <v>55</v>
      </c>
      <c r="I12" s="1" t="str">
        <f t="shared" si="0"/>
        <v>X_Summary_Table$X_Labels[X_Summary_Table$X_Constraints=="X8"] &lt;- "X8: NATIONAL MILIEU 1 SEX 1 AGE 45_49"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5">
      <c r="A13" t="s">
        <v>65</v>
      </c>
      <c r="B13" s="7"/>
      <c r="C13" s="8" t="s">
        <v>43</v>
      </c>
      <c r="D13" s="9">
        <v>1</v>
      </c>
      <c r="E13" s="9">
        <v>1</v>
      </c>
      <c r="F13" s="10" t="s">
        <v>51</v>
      </c>
      <c r="G13" s="11"/>
      <c r="H13" s="1" t="s">
        <v>55</v>
      </c>
      <c r="I13" s="1" t="str">
        <f t="shared" si="0"/>
        <v>X_Summary_Table$X_Labels[X_Summary_Table$X_Constraints=="X9"] &lt;- "X9: NATIONAL MILIEU 1 SEX 1 AGE 50_54"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5">
      <c r="A14" t="s">
        <v>66</v>
      </c>
      <c r="B14" s="7"/>
      <c r="C14" s="8" t="s">
        <v>43</v>
      </c>
      <c r="D14" s="9">
        <v>1</v>
      </c>
      <c r="E14" s="9">
        <v>1</v>
      </c>
      <c r="F14" s="10" t="s">
        <v>52</v>
      </c>
      <c r="G14" s="11"/>
      <c r="H14" s="1" t="s">
        <v>55</v>
      </c>
      <c r="I14" s="1" t="str">
        <f t="shared" si="0"/>
        <v>X_Summary_Table$X_Labels[X_Summary_Table$X_Constraints=="X10"] &lt;- "X10: NATIONAL MILIEU 1 SEX 1 AGE 55_59"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5">
      <c r="A15" t="s">
        <v>67</v>
      </c>
      <c r="B15" s="7"/>
      <c r="C15" s="8" t="s">
        <v>43</v>
      </c>
      <c r="D15" s="9">
        <v>1</v>
      </c>
      <c r="E15" s="9">
        <v>1</v>
      </c>
      <c r="F15" s="10" t="s">
        <v>53</v>
      </c>
      <c r="G15" s="11"/>
      <c r="H15" s="1" t="s">
        <v>55</v>
      </c>
      <c r="I15" s="1" t="str">
        <f t="shared" si="0"/>
        <v>X_Summary_Table$X_Labels[X_Summary_Table$X_Constraints=="X11"] &lt;- "X11: NATIONAL MILIEU 1 SEX 1 AGE 60_64"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5">
      <c r="A16" t="s">
        <v>68</v>
      </c>
      <c r="B16" s="7"/>
      <c r="C16" s="8" t="s">
        <v>43</v>
      </c>
      <c r="D16" s="9">
        <v>1</v>
      </c>
      <c r="E16" s="9">
        <v>1</v>
      </c>
      <c r="F16" s="10" t="s">
        <v>54</v>
      </c>
      <c r="G16" s="11"/>
      <c r="H16" s="1" t="s">
        <v>55</v>
      </c>
      <c r="I16" s="1" t="str">
        <f t="shared" si="0"/>
        <v>X_Summary_Table$X_Labels[X_Summary_Table$X_Constraints=="X12"] &lt;- "X12: NATIONAL MILIEU 1 SEX 1 AGE 65_plus"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5">
      <c r="A17" t="s">
        <v>69</v>
      </c>
      <c r="B17" s="7"/>
      <c r="C17" s="8" t="s">
        <v>43</v>
      </c>
      <c r="D17" s="12">
        <v>1</v>
      </c>
      <c r="E17" s="12">
        <v>2</v>
      </c>
      <c r="F17" s="13" t="s">
        <v>8</v>
      </c>
      <c r="G17" s="14"/>
      <c r="H17" s="1" t="s">
        <v>55</v>
      </c>
      <c r="I17" s="1" t="str">
        <f t="shared" si="0"/>
        <v>X_Summary_Table$X_Labels[X_Summary_Table$X_Constraints=="X13"] &lt;- "X13: NATIONAL MILIEU 2 SEX 1 AGE 0_14"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5">
      <c r="A18" t="s">
        <v>70</v>
      </c>
      <c r="B18" s="7"/>
      <c r="C18" s="8" t="s">
        <v>43</v>
      </c>
      <c r="D18" s="12">
        <v>1</v>
      </c>
      <c r="E18" s="12">
        <v>2</v>
      </c>
      <c r="F18" s="13" t="s">
        <v>44</v>
      </c>
      <c r="G18" s="14"/>
      <c r="H18" s="1" t="s">
        <v>55</v>
      </c>
      <c r="I18" s="1" t="str">
        <f t="shared" si="0"/>
        <v>X_Summary_Table$X_Labels[X_Summary_Table$X_Constraints=="X14"] &lt;- "X14: NATIONAL MILIEU 2 SEX 1 AGE 15_19"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5">
      <c r="A19" t="s">
        <v>71</v>
      </c>
      <c r="B19" s="7"/>
      <c r="C19" s="8" t="s">
        <v>43</v>
      </c>
      <c r="D19" s="12">
        <v>1</v>
      </c>
      <c r="E19" s="12">
        <v>2</v>
      </c>
      <c r="F19" s="13" t="s">
        <v>45</v>
      </c>
      <c r="G19" s="14"/>
      <c r="H19" s="1" t="s">
        <v>55</v>
      </c>
      <c r="I19" s="1" t="str">
        <f t="shared" si="0"/>
        <v>X_Summary_Table$X_Labels[X_Summary_Table$X_Constraints=="X15"] &lt;- "X15: NATIONAL MILIEU 2 SEX 1 AGE 20_24"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5">
      <c r="A20" t="s">
        <v>72</v>
      </c>
      <c r="B20" s="7"/>
      <c r="C20" s="8" t="s">
        <v>43</v>
      </c>
      <c r="D20" s="12">
        <v>1</v>
      </c>
      <c r="E20" s="12">
        <v>2</v>
      </c>
      <c r="F20" s="13" t="s">
        <v>46</v>
      </c>
      <c r="G20" s="14"/>
      <c r="H20" s="1" t="s">
        <v>55</v>
      </c>
      <c r="I20" s="1" t="str">
        <f t="shared" si="0"/>
        <v>X_Summary_Table$X_Labels[X_Summary_Table$X_Constraints=="X16"] &lt;- "X16: NATIONAL MILIEU 2 SEX 1 AGE 25_29"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5">
      <c r="A21" t="s">
        <v>73</v>
      </c>
      <c r="B21" s="7"/>
      <c r="C21" s="8" t="s">
        <v>43</v>
      </c>
      <c r="D21" s="12">
        <v>1</v>
      </c>
      <c r="E21" s="12">
        <v>2</v>
      </c>
      <c r="F21" s="13" t="s">
        <v>47</v>
      </c>
      <c r="G21" s="14"/>
      <c r="H21" s="1" t="s">
        <v>55</v>
      </c>
      <c r="I21" s="1" t="str">
        <f t="shared" si="0"/>
        <v>X_Summary_Table$X_Labels[X_Summary_Table$X_Constraints=="X17"] &lt;- "X17: NATIONAL MILIEU 2 SEX 1 AGE 30_34"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5">
      <c r="A22" t="s">
        <v>74</v>
      </c>
      <c r="B22" s="7"/>
      <c r="C22" s="8" t="s">
        <v>43</v>
      </c>
      <c r="D22" s="12">
        <v>1</v>
      </c>
      <c r="E22" s="12">
        <v>2</v>
      </c>
      <c r="F22" s="13" t="s">
        <v>48</v>
      </c>
      <c r="G22" s="14"/>
      <c r="H22" s="1" t="s">
        <v>55</v>
      </c>
      <c r="I22" s="1" t="str">
        <f t="shared" si="0"/>
        <v>X_Summary_Table$X_Labels[X_Summary_Table$X_Constraints=="X18"] &lt;- "X18: NATIONAL MILIEU 2 SEX 1 AGE 35_39"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5">
      <c r="A23" t="s">
        <v>75</v>
      </c>
      <c r="B23" s="7"/>
      <c r="C23" s="8" t="s">
        <v>43</v>
      </c>
      <c r="D23" s="12">
        <v>1</v>
      </c>
      <c r="E23" s="12">
        <v>2</v>
      </c>
      <c r="F23" s="13" t="s">
        <v>49</v>
      </c>
      <c r="G23" s="14"/>
      <c r="H23" s="1" t="s">
        <v>55</v>
      </c>
      <c r="I23" s="1" t="str">
        <f t="shared" si="0"/>
        <v>X_Summary_Table$X_Labels[X_Summary_Table$X_Constraints=="X19"] &lt;- "X19: NATIONAL MILIEU 2 SEX 1 AGE 40_44"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5">
      <c r="A24" t="s">
        <v>76</v>
      </c>
      <c r="B24" s="7"/>
      <c r="C24" s="8" t="s">
        <v>43</v>
      </c>
      <c r="D24" s="12">
        <v>1</v>
      </c>
      <c r="E24" s="12">
        <v>2</v>
      </c>
      <c r="F24" s="13" t="s">
        <v>50</v>
      </c>
      <c r="G24" s="14"/>
      <c r="H24" s="1" t="s">
        <v>55</v>
      </c>
      <c r="I24" s="1" t="str">
        <f t="shared" si="0"/>
        <v>X_Summary_Table$X_Labels[X_Summary_Table$X_Constraints=="X20"] &lt;- "X20: NATIONAL MILIEU 2 SEX 1 AGE 45_49"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5">
      <c r="A25" t="s">
        <v>77</v>
      </c>
      <c r="B25" s="7"/>
      <c r="C25" s="8" t="s">
        <v>43</v>
      </c>
      <c r="D25" s="12">
        <v>1</v>
      </c>
      <c r="E25" s="12">
        <v>2</v>
      </c>
      <c r="F25" s="13" t="s">
        <v>51</v>
      </c>
      <c r="G25" s="14"/>
      <c r="H25" s="1" t="s">
        <v>55</v>
      </c>
      <c r="I25" s="1" t="str">
        <f t="shared" si="0"/>
        <v>X_Summary_Table$X_Labels[X_Summary_Table$X_Constraints=="X21"] &lt;- "X21: NATIONAL MILIEU 2 SEX 1 AGE 50_54"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5">
      <c r="A26" t="s">
        <v>78</v>
      </c>
      <c r="B26" s="7"/>
      <c r="C26" s="8" t="s">
        <v>43</v>
      </c>
      <c r="D26" s="12">
        <v>1</v>
      </c>
      <c r="E26" s="12">
        <v>2</v>
      </c>
      <c r="F26" s="13" t="s">
        <v>52</v>
      </c>
      <c r="G26" s="14"/>
      <c r="H26" s="1" t="s">
        <v>55</v>
      </c>
      <c r="I26" s="1" t="str">
        <f t="shared" si="0"/>
        <v>X_Summary_Table$X_Labels[X_Summary_Table$X_Constraints=="X22"] &lt;- "X22: NATIONAL MILIEU 2 SEX 1 AGE 55_59"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5">
      <c r="A27" t="s">
        <v>79</v>
      </c>
      <c r="B27" s="7"/>
      <c r="C27" s="8" t="s">
        <v>43</v>
      </c>
      <c r="D27" s="12">
        <v>1</v>
      </c>
      <c r="E27" s="12">
        <v>2</v>
      </c>
      <c r="F27" s="13" t="s">
        <v>53</v>
      </c>
      <c r="G27" s="14"/>
      <c r="H27" s="1" t="s">
        <v>55</v>
      </c>
      <c r="I27" s="1" t="str">
        <f t="shared" si="0"/>
        <v>X_Summary_Table$X_Labels[X_Summary_Table$X_Constraints=="X23"] &lt;- "X23: NATIONAL MILIEU 2 SEX 1 AGE 60_64"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5">
      <c r="A28" t="s">
        <v>80</v>
      </c>
      <c r="B28" s="7"/>
      <c r="C28" s="8" t="s">
        <v>43</v>
      </c>
      <c r="D28" s="12">
        <v>1</v>
      </c>
      <c r="E28" s="12">
        <v>2</v>
      </c>
      <c r="F28" s="13" t="s">
        <v>54</v>
      </c>
      <c r="G28" s="14"/>
      <c r="H28" s="1" t="s">
        <v>55</v>
      </c>
      <c r="I28" s="1" t="str">
        <f t="shared" si="0"/>
        <v>X_Summary_Table$X_Labels[X_Summary_Table$X_Constraints=="X24"] &lt;- "X24: NATIONAL MILIEU 2 SEX 1 AGE 65_plus"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5">
      <c r="A29" t="s">
        <v>81</v>
      </c>
      <c r="B29" s="7"/>
      <c r="C29" s="8" t="s">
        <v>43</v>
      </c>
      <c r="D29" s="21">
        <v>2</v>
      </c>
      <c r="E29" s="21">
        <v>1</v>
      </c>
      <c r="F29" s="22" t="s">
        <v>8</v>
      </c>
      <c r="G29" s="23"/>
      <c r="H29" s="1" t="s">
        <v>55</v>
      </c>
      <c r="I29" s="1" t="str">
        <f t="shared" si="0"/>
        <v>X_Summary_Table$X_Labels[X_Summary_Table$X_Constraints=="X25"] &lt;- "X25: NATIONAL MILIEU 1 SEX 2 AGE 0_14"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5">
      <c r="A30" t="s">
        <v>82</v>
      </c>
      <c r="B30" s="7"/>
      <c r="C30" s="8" t="s">
        <v>43</v>
      </c>
      <c r="D30" s="21">
        <v>2</v>
      </c>
      <c r="E30" s="21">
        <v>1</v>
      </c>
      <c r="F30" s="22" t="s">
        <v>44</v>
      </c>
      <c r="G30" s="23"/>
      <c r="H30" s="1" t="s">
        <v>55</v>
      </c>
      <c r="I30" s="1" t="str">
        <f t="shared" si="0"/>
        <v>X_Summary_Table$X_Labels[X_Summary_Table$X_Constraints=="X26"] &lt;- "X26: NATIONAL MILIEU 1 SEX 2 AGE 15_19"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5">
      <c r="A31" t="s">
        <v>83</v>
      </c>
      <c r="B31" s="7"/>
      <c r="C31" s="8" t="s">
        <v>43</v>
      </c>
      <c r="D31" s="21">
        <v>2</v>
      </c>
      <c r="E31" s="21">
        <v>1</v>
      </c>
      <c r="F31" s="22" t="s">
        <v>45</v>
      </c>
      <c r="G31" s="23"/>
      <c r="H31" s="1" t="s">
        <v>55</v>
      </c>
      <c r="I31" s="1" t="str">
        <f t="shared" si="0"/>
        <v>X_Summary_Table$X_Labels[X_Summary_Table$X_Constraints=="X27"] &lt;- "X27: NATIONAL MILIEU 1 SEX 2 AGE 20_24"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5">
      <c r="A32" t="s">
        <v>84</v>
      </c>
      <c r="B32" s="7"/>
      <c r="C32" s="8" t="s">
        <v>43</v>
      </c>
      <c r="D32" s="21">
        <v>2</v>
      </c>
      <c r="E32" s="21">
        <v>1</v>
      </c>
      <c r="F32" s="22" t="s">
        <v>46</v>
      </c>
      <c r="G32" s="23"/>
      <c r="H32" s="1" t="s">
        <v>55</v>
      </c>
      <c r="I32" s="1" t="str">
        <f t="shared" si="0"/>
        <v>X_Summary_Table$X_Labels[X_Summary_Table$X_Constraints=="X28"] &lt;- "X28: NATIONAL MILIEU 1 SEX 2 AGE 25_29"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5">
      <c r="A33" t="s">
        <v>85</v>
      </c>
      <c r="B33" s="7"/>
      <c r="C33" s="8" t="s">
        <v>43</v>
      </c>
      <c r="D33" s="21">
        <v>2</v>
      </c>
      <c r="E33" s="21">
        <v>1</v>
      </c>
      <c r="F33" s="22" t="s">
        <v>47</v>
      </c>
      <c r="G33" s="23"/>
      <c r="H33" s="1" t="s">
        <v>55</v>
      </c>
      <c r="I33" s="1" t="str">
        <f t="shared" si="0"/>
        <v>X_Summary_Table$X_Labels[X_Summary_Table$X_Constraints=="X29"] &lt;- "X29: NATIONAL MILIEU 1 SEX 2 AGE 30_34"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5">
      <c r="A34" t="s">
        <v>86</v>
      </c>
      <c r="B34" s="7"/>
      <c r="C34" s="8" t="s">
        <v>43</v>
      </c>
      <c r="D34" s="21">
        <v>2</v>
      </c>
      <c r="E34" s="21">
        <v>1</v>
      </c>
      <c r="F34" s="22" t="s">
        <v>48</v>
      </c>
      <c r="G34" s="23"/>
      <c r="H34" s="1" t="s">
        <v>55</v>
      </c>
      <c r="I34" s="1" t="str">
        <f t="shared" si="0"/>
        <v>X_Summary_Table$X_Labels[X_Summary_Table$X_Constraints=="X30"] &lt;- "X30: NATIONAL MILIEU 1 SEX 2 AGE 35_39"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5">
      <c r="A35" t="s">
        <v>87</v>
      </c>
      <c r="B35" s="7"/>
      <c r="C35" s="8" t="s">
        <v>43</v>
      </c>
      <c r="D35" s="21">
        <v>2</v>
      </c>
      <c r="E35" s="21">
        <v>1</v>
      </c>
      <c r="F35" s="22" t="s">
        <v>49</v>
      </c>
      <c r="G35" s="23"/>
      <c r="H35" s="1" t="s">
        <v>55</v>
      </c>
      <c r="I35" s="1" t="str">
        <f t="shared" si="0"/>
        <v>X_Summary_Table$X_Labels[X_Summary_Table$X_Constraints=="X31"] &lt;- "X31: NATIONAL MILIEU 1 SEX 2 AGE 40_44"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5">
      <c r="A36" t="s">
        <v>88</v>
      </c>
      <c r="B36" s="7"/>
      <c r="C36" s="8" t="s">
        <v>43</v>
      </c>
      <c r="D36" s="21">
        <v>2</v>
      </c>
      <c r="E36" s="21">
        <v>1</v>
      </c>
      <c r="F36" s="22" t="s">
        <v>50</v>
      </c>
      <c r="G36" s="23"/>
      <c r="H36" s="1" t="s">
        <v>55</v>
      </c>
      <c r="I36" s="1" t="str">
        <f t="shared" si="0"/>
        <v>X_Summary_Table$X_Labels[X_Summary_Table$X_Constraints=="X32"] &lt;- "X32: NATIONAL MILIEU 1 SEX 2 AGE 45_49"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5">
      <c r="A37" t="s">
        <v>89</v>
      </c>
      <c r="B37" s="7"/>
      <c r="C37" s="8" t="s">
        <v>43</v>
      </c>
      <c r="D37" s="21">
        <v>2</v>
      </c>
      <c r="E37" s="21">
        <v>1</v>
      </c>
      <c r="F37" s="22" t="s">
        <v>51</v>
      </c>
      <c r="G37" s="23"/>
      <c r="H37" s="1" t="s">
        <v>55</v>
      </c>
      <c r="I37" s="1" t="str">
        <f t="shared" si="0"/>
        <v>X_Summary_Table$X_Labels[X_Summary_Table$X_Constraints=="X33"] &lt;- "X33: NATIONAL MILIEU 1 SEX 2 AGE 50_54"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5">
      <c r="A38" t="s">
        <v>90</v>
      </c>
      <c r="B38" s="7"/>
      <c r="C38" s="8" t="s">
        <v>43</v>
      </c>
      <c r="D38" s="21">
        <v>2</v>
      </c>
      <c r="E38" s="21">
        <v>1</v>
      </c>
      <c r="F38" s="22" t="s">
        <v>52</v>
      </c>
      <c r="G38" s="23"/>
      <c r="H38" s="1" t="s">
        <v>55</v>
      </c>
      <c r="I38" s="1" t="str">
        <f t="shared" si="0"/>
        <v>X_Summary_Table$X_Labels[X_Summary_Table$X_Constraints=="X34"] &lt;- "X34: NATIONAL MILIEU 1 SEX 2 AGE 55_59"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5">
      <c r="A39" t="s">
        <v>91</v>
      </c>
      <c r="B39" s="7"/>
      <c r="C39" s="8" t="s">
        <v>43</v>
      </c>
      <c r="D39" s="21">
        <v>2</v>
      </c>
      <c r="E39" s="21">
        <v>1</v>
      </c>
      <c r="F39" s="22" t="s">
        <v>53</v>
      </c>
      <c r="G39" s="23"/>
      <c r="H39" s="1" t="s">
        <v>55</v>
      </c>
      <c r="I39" s="1" t="str">
        <f t="shared" si="0"/>
        <v>X_Summary_Table$X_Labels[X_Summary_Table$X_Constraints=="X35"] &lt;- "X35: NATIONAL MILIEU 1 SEX 2 AGE 60_64"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5">
      <c r="A40" t="s">
        <v>92</v>
      </c>
      <c r="B40" s="7"/>
      <c r="C40" s="8" t="s">
        <v>43</v>
      </c>
      <c r="D40" s="21">
        <v>2</v>
      </c>
      <c r="E40" s="21">
        <v>1</v>
      </c>
      <c r="F40" s="22" t="s">
        <v>54</v>
      </c>
      <c r="G40" s="23"/>
      <c r="H40" s="1" t="s">
        <v>55</v>
      </c>
      <c r="I40" s="1" t="str">
        <f t="shared" si="0"/>
        <v>X_Summary_Table$X_Labels[X_Summary_Table$X_Constraints=="X36"] &lt;- "X36: NATIONAL MILIEU 1 SEX 2 AGE 65_plus"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5">
      <c r="A41" t="s">
        <v>93</v>
      </c>
      <c r="B41" s="7"/>
      <c r="C41" s="8" t="s">
        <v>43</v>
      </c>
      <c r="D41" s="24">
        <v>2</v>
      </c>
      <c r="E41" s="24">
        <v>2</v>
      </c>
      <c r="F41" s="25" t="s">
        <v>8</v>
      </c>
      <c r="G41" s="26"/>
      <c r="H41" s="1" t="s">
        <v>55</v>
      </c>
      <c r="I41" s="1" t="str">
        <f t="shared" si="0"/>
        <v>X_Summary_Table$X_Labels[X_Summary_Table$X_Constraints=="X37"] &lt;- "X37: NATIONAL MILIEU 2 SEX 2 AGE 0_14"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5">
      <c r="A42" t="s">
        <v>94</v>
      </c>
      <c r="B42" s="7"/>
      <c r="C42" s="8" t="s">
        <v>43</v>
      </c>
      <c r="D42" s="24">
        <v>2</v>
      </c>
      <c r="E42" s="24">
        <v>2</v>
      </c>
      <c r="F42" s="25" t="s">
        <v>44</v>
      </c>
      <c r="G42" s="26"/>
      <c r="H42" s="1" t="s">
        <v>55</v>
      </c>
      <c r="I42" s="1" t="str">
        <f t="shared" si="0"/>
        <v>X_Summary_Table$X_Labels[X_Summary_Table$X_Constraints=="X38"] &lt;- "X38: NATIONAL MILIEU 2 SEX 2 AGE 15_19"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5">
      <c r="A43" t="s">
        <v>95</v>
      </c>
      <c r="B43" s="7"/>
      <c r="C43" s="8" t="s">
        <v>43</v>
      </c>
      <c r="D43" s="24">
        <v>2</v>
      </c>
      <c r="E43" s="24">
        <v>2</v>
      </c>
      <c r="F43" s="25" t="s">
        <v>45</v>
      </c>
      <c r="G43" s="26"/>
      <c r="H43" s="1" t="s">
        <v>55</v>
      </c>
      <c r="I43" s="1" t="str">
        <f t="shared" si="0"/>
        <v>X_Summary_Table$X_Labels[X_Summary_Table$X_Constraints=="X39"] &lt;- "X39: NATIONAL MILIEU 2 SEX 2 AGE 20_24"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5">
      <c r="A44" t="s">
        <v>96</v>
      </c>
      <c r="B44" s="7"/>
      <c r="C44" s="8" t="s">
        <v>43</v>
      </c>
      <c r="D44" s="24">
        <v>2</v>
      </c>
      <c r="E44" s="24">
        <v>2</v>
      </c>
      <c r="F44" s="25" t="s">
        <v>46</v>
      </c>
      <c r="G44" s="26"/>
      <c r="H44" s="1" t="s">
        <v>55</v>
      </c>
      <c r="I44" s="1" t="str">
        <f t="shared" si="0"/>
        <v>X_Summary_Table$X_Labels[X_Summary_Table$X_Constraints=="X40"] &lt;- "X40: NATIONAL MILIEU 2 SEX 2 AGE 25_29"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5">
      <c r="A45" t="s">
        <v>97</v>
      </c>
      <c r="B45" s="7"/>
      <c r="C45" s="8" t="s">
        <v>43</v>
      </c>
      <c r="D45" s="24">
        <v>2</v>
      </c>
      <c r="E45" s="24">
        <v>2</v>
      </c>
      <c r="F45" s="25" t="s">
        <v>47</v>
      </c>
      <c r="G45" s="26"/>
      <c r="H45" s="1" t="s">
        <v>55</v>
      </c>
      <c r="I45" s="1" t="str">
        <f t="shared" si="0"/>
        <v>X_Summary_Table$X_Labels[X_Summary_Table$X_Constraints=="X41"] &lt;- "X41: NATIONAL MILIEU 2 SEX 2 AGE 30_34"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5">
      <c r="A46" t="s">
        <v>98</v>
      </c>
      <c r="B46" s="7"/>
      <c r="C46" s="8" t="s">
        <v>43</v>
      </c>
      <c r="D46" s="24">
        <v>2</v>
      </c>
      <c r="E46" s="24">
        <v>2</v>
      </c>
      <c r="F46" s="25" t="s">
        <v>48</v>
      </c>
      <c r="G46" s="26"/>
      <c r="H46" s="1" t="s">
        <v>55</v>
      </c>
      <c r="I46" s="1" t="str">
        <f t="shared" si="0"/>
        <v>X_Summary_Table$X_Labels[X_Summary_Table$X_Constraints=="X42"] &lt;- "X42: NATIONAL MILIEU 2 SEX 2 AGE 35_39"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5">
      <c r="A47" t="s">
        <v>99</v>
      </c>
      <c r="B47" s="7"/>
      <c r="C47" s="8" t="s">
        <v>43</v>
      </c>
      <c r="D47" s="24">
        <v>2</v>
      </c>
      <c r="E47" s="24">
        <v>2</v>
      </c>
      <c r="F47" s="25" t="s">
        <v>49</v>
      </c>
      <c r="G47" s="26"/>
      <c r="H47" s="1" t="s">
        <v>55</v>
      </c>
      <c r="I47" s="1" t="str">
        <f t="shared" si="0"/>
        <v>X_Summary_Table$X_Labels[X_Summary_Table$X_Constraints=="X43"] &lt;- "X43: NATIONAL MILIEU 2 SEX 2 AGE 40_44"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5">
      <c r="A48" t="s">
        <v>100</v>
      </c>
      <c r="B48" s="7"/>
      <c r="C48" s="8" t="s">
        <v>43</v>
      </c>
      <c r="D48" s="24">
        <v>2</v>
      </c>
      <c r="E48" s="24">
        <v>2</v>
      </c>
      <c r="F48" s="25" t="s">
        <v>50</v>
      </c>
      <c r="G48" s="26"/>
      <c r="H48" s="1" t="s">
        <v>55</v>
      </c>
      <c r="I48" s="1" t="str">
        <f t="shared" si="0"/>
        <v>X_Summary_Table$X_Labels[X_Summary_Table$X_Constraints=="X44"] &lt;- "X44: NATIONAL MILIEU 2 SEX 2 AGE 45_49"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5">
      <c r="A49" t="s">
        <v>101</v>
      </c>
      <c r="B49" s="7"/>
      <c r="C49" s="8" t="s">
        <v>43</v>
      </c>
      <c r="D49" s="24">
        <v>2</v>
      </c>
      <c r="E49" s="24">
        <v>2</v>
      </c>
      <c r="F49" s="25" t="s">
        <v>51</v>
      </c>
      <c r="G49" s="26"/>
      <c r="H49" s="1" t="s">
        <v>55</v>
      </c>
      <c r="I49" s="1" t="str">
        <f t="shared" si="0"/>
        <v>X_Summary_Table$X_Labels[X_Summary_Table$X_Constraints=="X45"] &lt;- "X45: NATIONAL MILIEU 2 SEX 2 AGE 50_54"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5">
      <c r="A50" t="s">
        <v>102</v>
      </c>
      <c r="B50" s="7"/>
      <c r="C50" s="8" t="s">
        <v>43</v>
      </c>
      <c r="D50" s="24">
        <v>2</v>
      </c>
      <c r="E50" s="24">
        <v>2</v>
      </c>
      <c r="F50" s="25" t="s">
        <v>52</v>
      </c>
      <c r="G50" s="26"/>
      <c r="H50" s="1" t="s">
        <v>55</v>
      </c>
      <c r="I50" s="1" t="str">
        <f t="shared" si="0"/>
        <v>X_Summary_Table$X_Labels[X_Summary_Table$X_Constraints=="X46"] &lt;- "X46: NATIONAL MILIEU 2 SEX 2 AGE 55_59"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5">
      <c r="A51" t="s">
        <v>103</v>
      </c>
      <c r="B51" s="7"/>
      <c r="C51" s="8" t="s">
        <v>43</v>
      </c>
      <c r="D51" s="24">
        <v>2</v>
      </c>
      <c r="E51" s="24">
        <v>2</v>
      </c>
      <c r="F51" s="25" t="s">
        <v>53</v>
      </c>
      <c r="G51" s="26"/>
      <c r="H51" s="1" t="s">
        <v>55</v>
      </c>
      <c r="I51" s="1" t="str">
        <f t="shared" si="0"/>
        <v>X_Summary_Table$X_Labels[X_Summary_Table$X_Constraints=="X47"] &lt;- "X47: NATIONAL MILIEU 2 SEX 2 AGE 60_64"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5">
      <c r="A52" t="s">
        <v>104</v>
      </c>
      <c r="B52" s="7"/>
      <c r="C52" s="8" t="s">
        <v>43</v>
      </c>
      <c r="D52" s="24">
        <v>2</v>
      </c>
      <c r="E52" s="24">
        <v>2</v>
      </c>
      <c r="F52" s="25" t="s">
        <v>54</v>
      </c>
      <c r="G52" s="26"/>
      <c r="H52" s="1" t="s">
        <v>55</v>
      </c>
      <c r="I52" s="1" t="str">
        <f t="shared" si="0"/>
        <v>X_Summary_Table$X_Labels[X_Summary_Table$X_Constraints=="X48"] &lt;- "X48: NATIONAL MILIEU 2 SEX 2 AGE 65_plus"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5">
      <c r="A53" t="s">
        <v>105</v>
      </c>
      <c r="B53" s="7">
        <v>10101</v>
      </c>
      <c r="C53" s="8" t="s">
        <v>7</v>
      </c>
      <c r="D53" s="9">
        <v>1</v>
      </c>
      <c r="E53" s="9">
        <v>1</v>
      </c>
      <c r="F53" s="10" t="s">
        <v>8</v>
      </c>
      <c r="G53" s="11"/>
      <c r="H53" s="1" t="s">
        <v>55</v>
      </c>
      <c r="I53" s="1" t="str">
        <f t="shared" si="0"/>
        <v>X_Summary_Table$X_Labels[X_Summary_Table$X_Constraints=="X49"] &lt;- "X49: ABIDJAN MILIEU 1 SEX 1 AGE 0_14"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5">
      <c r="A54" t="s">
        <v>106</v>
      </c>
      <c r="B54" s="7">
        <v>10101</v>
      </c>
      <c r="C54" s="8" t="s">
        <v>7</v>
      </c>
      <c r="D54" s="9">
        <v>1</v>
      </c>
      <c r="E54" s="9">
        <v>1</v>
      </c>
      <c r="F54" s="10" t="s">
        <v>9</v>
      </c>
      <c r="G54" s="11"/>
      <c r="H54" s="1" t="s">
        <v>55</v>
      </c>
      <c r="I54" s="1" t="str">
        <f t="shared" ref="I54:I117" si="1">"X_Summary_Table$X_Labels[X_Summary_Table$X_Constraints==" &amp; H54 &amp; A54 &amp; H54 &amp; "] &lt;- " &amp; H54 &amp; A54 &amp; ": " &amp; C54 &amp; " MILIEU " &amp; E54 &amp;" SEX " &amp; D54 &amp;" AGE "&amp; F54 &amp; H54</f>
        <v>X_Summary_Table$X_Labels[X_Summary_Table$X_Constraints=="X50"] &lt;- "X50: ABIDJAN MILIEU 1 SEX 1 AGE 15_34"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5">
      <c r="A55" t="s">
        <v>107</v>
      </c>
      <c r="B55" s="7">
        <v>10101</v>
      </c>
      <c r="C55" s="8" t="s">
        <v>7</v>
      </c>
      <c r="D55" s="9">
        <v>1</v>
      </c>
      <c r="E55" s="9">
        <v>1</v>
      </c>
      <c r="F55" s="10" t="s">
        <v>10</v>
      </c>
      <c r="G55" s="11"/>
      <c r="H55" s="1" t="s">
        <v>55</v>
      </c>
      <c r="I55" s="1" t="str">
        <f t="shared" si="1"/>
        <v>X_Summary_Table$X_Labels[X_Summary_Table$X_Constraints=="X51"] &lt;- "X51: ABIDJAN MILIEU 1 SEX 1 AGE 35_plus"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5">
      <c r="A56" t="s">
        <v>108</v>
      </c>
      <c r="B56" s="7">
        <v>10101</v>
      </c>
      <c r="C56" s="8" t="s">
        <v>7</v>
      </c>
      <c r="D56" s="12">
        <v>1</v>
      </c>
      <c r="E56" s="12">
        <v>2</v>
      </c>
      <c r="F56" s="13" t="s">
        <v>8</v>
      </c>
      <c r="G56" s="14"/>
      <c r="H56" s="1" t="s">
        <v>55</v>
      </c>
      <c r="I56" s="1" t="str">
        <f t="shared" si="1"/>
        <v>X_Summary_Table$X_Labels[X_Summary_Table$X_Constraints=="X52"] &lt;- "X52: ABIDJAN MILIEU 2 SEX 1 AGE 0_14"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5">
      <c r="A57" t="s">
        <v>109</v>
      </c>
      <c r="B57" s="7">
        <v>10101</v>
      </c>
      <c r="C57" s="8" t="s">
        <v>7</v>
      </c>
      <c r="D57" s="12">
        <v>1</v>
      </c>
      <c r="E57" s="12">
        <v>2</v>
      </c>
      <c r="F57" s="13" t="s">
        <v>9</v>
      </c>
      <c r="G57" s="14"/>
      <c r="H57" s="1" t="s">
        <v>55</v>
      </c>
      <c r="I57" s="1" t="str">
        <f t="shared" si="1"/>
        <v>X_Summary_Table$X_Labels[X_Summary_Table$X_Constraints=="X53"] &lt;- "X53: ABIDJAN MILIEU 2 SEX 1 AGE 15_34"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5">
      <c r="A58" t="s">
        <v>110</v>
      </c>
      <c r="B58" s="7">
        <v>10101</v>
      </c>
      <c r="C58" s="8" t="s">
        <v>7</v>
      </c>
      <c r="D58" s="12">
        <v>1</v>
      </c>
      <c r="E58" s="12">
        <v>2</v>
      </c>
      <c r="F58" s="13" t="s">
        <v>10</v>
      </c>
      <c r="G58" s="14"/>
      <c r="H58" s="1" t="s">
        <v>55</v>
      </c>
      <c r="I58" s="1" t="str">
        <f t="shared" si="1"/>
        <v>X_Summary_Table$X_Labels[X_Summary_Table$X_Constraints=="X54"] &lt;- "X54: ABIDJAN MILIEU 2 SEX 1 AGE 35_plus"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5">
      <c r="A59" t="s">
        <v>111</v>
      </c>
      <c r="B59" s="7">
        <v>10101</v>
      </c>
      <c r="C59" s="8" t="s">
        <v>7</v>
      </c>
      <c r="D59" s="15">
        <v>2</v>
      </c>
      <c r="E59" s="15">
        <v>1</v>
      </c>
      <c r="F59" s="16" t="s">
        <v>8</v>
      </c>
      <c r="G59" s="17"/>
      <c r="H59" s="1" t="s">
        <v>55</v>
      </c>
      <c r="I59" s="1" t="str">
        <f t="shared" si="1"/>
        <v>X_Summary_Table$X_Labels[X_Summary_Table$X_Constraints=="X55"] &lt;- "X55: ABIDJAN MILIEU 1 SEX 2 AGE 0_14"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5">
      <c r="A60" t="s">
        <v>112</v>
      </c>
      <c r="B60" s="7">
        <v>10101</v>
      </c>
      <c r="C60" s="8" t="s">
        <v>7</v>
      </c>
      <c r="D60" s="15">
        <v>2</v>
      </c>
      <c r="E60" s="15">
        <v>1</v>
      </c>
      <c r="F60" s="16" t="s">
        <v>9</v>
      </c>
      <c r="G60" s="17"/>
      <c r="H60" s="1" t="s">
        <v>55</v>
      </c>
      <c r="I60" s="1" t="str">
        <f t="shared" si="1"/>
        <v>X_Summary_Table$X_Labels[X_Summary_Table$X_Constraints=="X56"] &lt;- "X56: ABIDJAN MILIEU 1 SEX 2 AGE 15_34"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5">
      <c r="A61" t="s">
        <v>113</v>
      </c>
      <c r="B61" s="7">
        <v>10101</v>
      </c>
      <c r="C61" s="8" t="s">
        <v>7</v>
      </c>
      <c r="D61" s="15">
        <v>2</v>
      </c>
      <c r="E61" s="15">
        <v>1</v>
      </c>
      <c r="F61" s="16" t="s">
        <v>10</v>
      </c>
      <c r="G61" s="17"/>
      <c r="H61" s="1" t="s">
        <v>55</v>
      </c>
      <c r="I61" s="1" t="str">
        <f t="shared" si="1"/>
        <v>X_Summary_Table$X_Labels[X_Summary_Table$X_Constraints=="X57"] &lt;- "X57: ABIDJAN MILIEU 1 SEX 2 AGE 35_plus"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5">
      <c r="A62" t="s">
        <v>114</v>
      </c>
      <c r="B62" s="7">
        <v>10101</v>
      </c>
      <c r="C62" s="8" t="s">
        <v>7</v>
      </c>
      <c r="D62" s="18">
        <v>2</v>
      </c>
      <c r="E62" s="18">
        <v>2</v>
      </c>
      <c r="F62" s="19" t="s">
        <v>8</v>
      </c>
      <c r="G62" s="20"/>
      <c r="H62" s="1" t="s">
        <v>55</v>
      </c>
      <c r="I62" s="1" t="str">
        <f t="shared" si="1"/>
        <v>X_Summary_Table$X_Labels[X_Summary_Table$X_Constraints=="X58"] &lt;- "X58: ABIDJAN MILIEU 2 SEX 2 AGE 0_14"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5">
      <c r="A63" t="s">
        <v>115</v>
      </c>
      <c r="B63" s="7">
        <v>10101</v>
      </c>
      <c r="C63" s="8" t="s">
        <v>7</v>
      </c>
      <c r="D63" s="18">
        <v>2</v>
      </c>
      <c r="E63" s="18">
        <v>2</v>
      </c>
      <c r="F63" s="19" t="s">
        <v>9</v>
      </c>
      <c r="G63" s="20"/>
      <c r="H63" s="1" t="s">
        <v>55</v>
      </c>
      <c r="I63" s="1" t="str">
        <f t="shared" si="1"/>
        <v>X_Summary_Table$X_Labels[X_Summary_Table$X_Constraints=="X59"] &lt;- "X59: ABIDJAN MILIEU 2 SEX 2 AGE 15_34"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5">
      <c r="A64" t="s">
        <v>116</v>
      </c>
      <c r="B64" s="7">
        <v>10101</v>
      </c>
      <c r="C64" s="8" t="s">
        <v>7</v>
      </c>
      <c r="D64" s="18">
        <v>2</v>
      </c>
      <c r="E64" s="18">
        <v>2</v>
      </c>
      <c r="F64" s="19" t="s">
        <v>10</v>
      </c>
      <c r="G64" s="20"/>
      <c r="H64" s="1" t="s">
        <v>55</v>
      </c>
      <c r="I64" s="1" t="str">
        <f t="shared" si="1"/>
        <v>X_Summary_Table$X_Labels[X_Summary_Table$X_Constraints=="X60"] &lt;- "X60: ABIDJAN MILIEU 2 SEX 2 AGE 35_plus"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5">
      <c r="A65" t="s">
        <v>117</v>
      </c>
      <c r="B65" s="7">
        <v>10702</v>
      </c>
      <c r="C65" s="8" t="s">
        <v>11</v>
      </c>
      <c r="D65" s="9">
        <v>1</v>
      </c>
      <c r="E65" s="9">
        <v>1</v>
      </c>
      <c r="F65" s="10" t="s">
        <v>8</v>
      </c>
      <c r="G65" s="11"/>
      <c r="H65" s="1" t="s">
        <v>55</v>
      </c>
      <c r="I65" s="1" t="str">
        <f t="shared" si="1"/>
        <v>X_Summary_Table$X_Labels[X_Summary_Table$X_Constraints=="X61"] &lt;- "X61: HAUT-SASSANDRA MILIEU 1 SEX 1 AGE 0_14"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5">
      <c r="A66" t="s">
        <v>118</v>
      </c>
      <c r="B66" s="7">
        <v>10702</v>
      </c>
      <c r="C66" s="8" t="s">
        <v>11</v>
      </c>
      <c r="D66" s="9">
        <v>1</v>
      </c>
      <c r="E66" s="9">
        <v>1</v>
      </c>
      <c r="F66" s="10" t="s">
        <v>9</v>
      </c>
      <c r="G66" s="11"/>
      <c r="H66" s="1" t="s">
        <v>55</v>
      </c>
      <c r="I66" s="1" t="str">
        <f t="shared" si="1"/>
        <v>X_Summary_Table$X_Labels[X_Summary_Table$X_Constraints=="X62"] &lt;- "X62: HAUT-SASSANDRA MILIEU 1 SEX 1 AGE 15_34"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5">
      <c r="A67" t="s">
        <v>119</v>
      </c>
      <c r="B67" s="7">
        <v>10702</v>
      </c>
      <c r="C67" s="8" t="s">
        <v>11</v>
      </c>
      <c r="D67" s="9">
        <v>1</v>
      </c>
      <c r="E67" s="9">
        <v>1</v>
      </c>
      <c r="F67" s="10" t="s">
        <v>10</v>
      </c>
      <c r="G67" s="11"/>
      <c r="H67" s="1" t="s">
        <v>55</v>
      </c>
      <c r="I67" s="1" t="str">
        <f t="shared" si="1"/>
        <v>X_Summary_Table$X_Labels[X_Summary_Table$X_Constraints=="X63"] &lt;- "X63: HAUT-SASSANDRA MILIEU 1 SEX 1 AGE 35_plus"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5">
      <c r="A68" t="s">
        <v>120</v>
      </c>
      <c r="B68" s="7">
        <v>10702</v>
      </c>
      <c r="C68" s="8" t="s">
        <v>11</v>
      </c>
      <c r="D68" s="12">
        <v>1</v>
      </c>
      <c r="E68" s="12">
        <v>2</v>
      </c>
      <c r="F68" s="13" t="s">
        <v>8</v>
      </c>
      <c r="G68" s="14"/>
      <c r="H68" s="1" t="s">
        <v>55</v>
      </c>
      <c r="I68" s="1" t="str">
        <f t="shared" si="1"/>
        <v>X_Summary_Table$X_Labels[X_Summary_Table$X_Constraints=="X64"] &lt;- "X64: HAUT-SASSANDRA MILIEU 2 SEX 1 AGE 0_14"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5">
      <c r="A69" t="s">
        <v>121</v>
      </c>
      <c r="B69" s="7">
        <v>10702</v>
      </c>
      <c r="C69" s="8" t="s">
        <v>11</v>
      </c>
      <c r="D69" s="12">
        <v>1</v>
      </c>
      <c r="E69" s="12">
        <v>2</v>
      </c>
      <c r="F69" s="13" t="s">
        <v>9</v>
      </c>
      <c r="G69" s="14"/>
      <c r="H69" s="1" t="s">
        <v>55</v>
      </c>
      <c r="I69" s="1" t="str">
        <f t="shared" si="1"/>
        <v>X_Summary_Table$X_Labels[X_Summary_Table$X_Constraints=="X65"] &lt;- "X65: HAUT-SASSANDRA MILIEU 2 SEX 1 AGE 15_34"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5">
      <c r="A70" t="s">
        <v>122</v>
      </c>
      <c r="B70" s="7">
        <v>10702</v>
      </c>
      <c r="C70" s="8" t="s">
        <v>11</v>
      </c>
      <c r="D70" s="12">
        <v>1</v>
      </c>
      <c r="E70" s="12">
        <v>2</v>
      </c>
      <c r="F70" s="13" t="s">
        <v>10</v>
      </c>
      <c r="G70" s="14"/>
      <c r="H70" s="1" t="s">
        <v>55</v>
      </c>
      <c r="I70" s="1" t="str">
        <f t="shared" si="1"/>
        <v>X_Summary_Table$X_Labels[X_Summary_Table$X_Constraints=="X66"] &lt;- "X66: HAUT-SASSANDRA MILIEU 2 SEX 1 AGE 35_plus"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5">
      <c r="A71" t="s">
        <v>123</v>
      </c>
      <c r="B71" s="7">
        <v>10702</v>
      </c>
      <c r="C71" s="8" t="s">
        <v>11</v>
      </c>
      <c r="D71" s="15">
        <v>2</v>
      </c>
      <c r="E71" s="15">
        <v>1</v>
      </c>
      <c r="F71" s="16" t="s">
        <v>8</v>
      </c>
      <c r="G71" s="17"/>
      <c r="H71" s="1" t="s">
        <v>55</v>
      </c>
      <c r="I71" s="1" t="str">
        <f t="shared" si="1"/>
        <v>X_Summary_Table$X_Labels[X_Summary_Table$X_Constraints=="X67"] &lt;- "X67: HAUT-SASSANDRA MILIEU 1 SEX 2 AGE 0_14"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5">
      <c r="A72" t="s">
        <v>124</v>
      </c>
      <c r="B72" s="7">
        <v>10702</v>
      </c>
      <c r="C72" s="8" t="s">
        <v>11</v>
      </c>
      <c r="D72" s="15">
        <v>2</v>
      </c>
      <c r="E72" s="15">
        <v>1</v>
      </c>
      <c r="F72" s="16" t="s">
        <v>9</v>
      </c>
      <c r="G72" s="17"/>
      <c r="H72" s="1" t="s">
        <v>55</v>
      </c>
      <c r="I72" s="1" t="str">
        <f t="shared" si="1"/>
        <v>X_Summary_Table$X_Labels[X_Summary_Table$X_Constraints=="X68"] &lt;- "X68: HAUT-SASSANDRA MILIEU 1 SEX 2 AGE 15_34"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5">
      <c r="A73" t="s">
        <v>125</v>
      </c>
      <c r="B73" s="7">
        <v>10702</v>
      </c>
      <c r="C73" s="8" t="s">
        <v>11</v>
      </c>
      <c r="D73" s="15">
        <v>2</v>
      </c>
      <c r="E73" s="15">
        <v>1</v>
      </c>
      <c r="F73" s="16" t="s">
        <v>10</v>
      </c>
      <c r="G73" s="17"/>
      <c r="H73" s="1" t="s">
        <v>55</v>
      </c>
      <c r="I73" s="1" t="str">
        <f t="shared" si="1"/>
        <v>X_Summary_Table$X_Labels[X_Summary_Table$X_Constraints=="X69"] &lt;- "X69: HAUT-SASSANDRA MILIEU 1 SEX 2 AGE 35_plus"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5">
      <c r="A74" t="s">
        <v>126</v>
      </c>
      <c r="B74" s="7">
        <v>10702</v>
      </c>
      <c r="C74" s="8" t="s">
        <v>11</v>
      </c>
      <c r="D74" s="18">
        <v>2</v>
      </c>
      <c r="E74" s="18">
        <v>2</v>
      </c>
      <c r="F74" s="19" t="s">
        <v>8</v>
      </c>
      <c r="G74" s="20"/>
      <c r="H74" s="1" t="s">
        <v>55</v>
      </c>
      <c r="I74" s="1" t="str">
        <f t="shared" si="1"/>
        <v>X_Summary_Table$X_Labels[X_Summary_Table$X_Constraints=="X70"] &lt;- "X70: HAUT-SASSANDRA MILIEU 2 SEX 2 AGE 0_14"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5">
      <c r="A75" t="s">
        <v>127</v>
      </c>
      <c r="B75" s="7">
        <v>10702</v>
      </c>
      <c r="C75" s="8" t="s">
        <v>11</v>
      </c>
      <c r="D75" s="18">
        <v>2</v>
      </c>
      <c r="E75" s="18">
        <v>2</v>
      </c>
      <c r="F75" s="19" t="s">
        <v>9</v>
      </c>
      <c r="G75" s="20"/>
      <c r="H75" s="1" t="s">
        <v>55</v>
      </c>
      <c r="I75" s="1" t="str">
        <f t="shared" si="1"/>
        <v>X_Summary_Table$X_Labels[X_Summary_Table$X_Constraints=="X71"] &lt;- "X71: HAUT-SASSANDRA MILIEU 2 SEX 2 AGE 15_34"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5">
      <c r="A76" t="s">
        <v>128</v>
      </c>
      <c r="B76" s="7">
        <v>10702</v>
      </c>
      <c r="C76" s="8" t="s">
        <v>11</v>
      </c>
      <c r="D76" s="18">
        <v>2</v>
      </c>
      <c r="E76" s="18">
        <v>2</v>
      </c>
      <c r="F76" s="19" t="s">
        <v>10</v>
      </c>
      <c r="G76" s="20"/>
      <c r="H76" s="1" t="s">
        <v>55</v>
      </c>
      <c r="I76" s="1" t="str">
        <f t="shared" si="1"/>
        <v>X_Summary_Table$X_Labels[X_Summary_Table$X_Constraints=="X72"] &lt;- "X72: HAUT-SASSANDRA MILIEU 2 SEX 2 AGE 35_plus"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5">
      <c r="A77" t="s">
        <v>129</v>
      </c>
      <c r="B77" s="7">
        <v>11103</v>
      </c>
      <c r="C77" s="8" t="s">
        <v>12</v>
      </c>
      <c r="D77" s="9">
        <v>1</v>
      </c>
      <c r="E77" s="9">
        <v>1</v>
      </c>
      <c r="F77" s="10" t="s">
        <v>8</v>
      </c>
      <c r="G77" s="11"/>
      <c r="H77" s="1" t="s">
        <v>55</v>
      </c>
      <c r="I77" s="1" t="str">
        <f t="shared" si="1"/>
        <v>X_Summary_Table$X_Labels[X_Summary_Table$X_Constraints=="X73"] &lt;- "X73: PORO MILIEU 1 SEX 1 AGE 0_14"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5">
      <c r="A78" t="s">
        <v>130</v>
      </c>
      <c r="B78" s="7">
        <v>11103</v>
      </c>
      <c r="C78" s="8" t="s">
        <v>12</v>
      </c>
      <c r="D78" s="9">
        <v>1</v>
      </c>
      <c r="E78" s="9">
        <v>1</v>
      </c>
      <c r="F78" s="10" t="s">
        <v>9</v>
      </c>
      <c r="G78" s="11"/>
      <c r="H78" s="1" t="s">
        <v>55</v>
      </c>
      <c r="I78" s="1" t="str">
        <f t="shared" si="1"/>
        <v>X_Summary_Table$X_Labels[X_Summary_Table$X_Constraints=="X74"] &lt;- "X74: PORO MILIEU 1 SEX 1 AGE 15_34"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5">
      <c r="A79" t="s">
        <v>131</v>
      </c>
      <c r="B79" s="7">
        <v>11103</v>
      </c>
      <c r="C79" s="8" t="s">
        <v>12</v>
      </c>
      <c r="D79" s="9">
        <v>1</v>
      </c>
      <c r="E79" s="9">
        <v>1</v>
      </c>
      <c r="F79" s="10" t="s">
        <v>10</v>
      </c>
      <c r="G79" s="11"/>
      <c r="H79" s="1" t="s">
        <v>55</v>
      </c>
      <c r="I79" s="1" t="str">
        <f t="shared" si="1"/>
        <v>X_Summary_Table$X_Labels[X_Summary_Table$X_Constraints=="X75"] &lt;- "X75: PORO MILIEU 1 SEX 1 AGE 35_plus"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5">
      <c r="A80" t="s">
        <v>132</v>
      </c>
      <c r="B80" s="7">
        <v>11103</v>
      </c>
      <c r="C80" s="8" t="s">
        <v>12</v>
      </c>
      <c r="D80" s="12">
        <v>1</v>
      </c>
      <c r="E80" s="12">
        <v>2</v>
      </c>
      <c r="F80" s="13" t="s">
        <v>8</v>
      </c>
      <c r="G80" s="14"/>
      <c r="H80" s="1" t="s">
        <v>55</v>
      </c>
      <c r="I80" s="1" t="str">
        <f t="shared" si="1"/>
        <v>X_Summary_Table$X_Labels[X_Summary_Table$X_Constraints=="X76"] &lt;- "X76: PORO MILIEU 2 SEX 1 AGE 0_14"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5">
      <c r="A81" t="s">
        <v>133</v>
      </c>
      <c r="B81" s="7">
        <v>11103</v>
      </c>
      <c r="C81" s="8" t="s">
        <v>12</v>
      </c>
      <c r="D81" s="12">
        <v>1</v>
      </c>
      <c r="E81" s="12">
        <v>2</v>
      </c>
      <c r="F81" s="13" t="s">
        <v>9</v>
      </c>
      <c r="G81" s="14"/>
      <c r="H81" s="1" t="s">
        <v>55</v>
      </c>
      <c r="I81" s="1" t="str">
        <f t="shared" si="1"/>
        <v>X_Summary_Table$X_Labels[X_Summary_Table$X_Constraints=="X77"] &lt;- "X77: PORO MILIEU 2 SEX 1 AGE 15_34"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5">
      <c r="A82" t="s">
        <v>134</v>
      </c>
      <c r="B82" s="7">
        <v>11103</v>
      </c>
      <c r="C82" s="8" t="s">
        <v>12</v>
      </c>
      <c r="D82" s="12">
        <v>1</v>
      </c>
      <c r="E82" s="12">
        <v>2</v>
      </c>
      <c r="F82" s="13" t="s">
        <v>10</v>
      </c>
      <c r="G82" s="14"/>
      <c r="H82" s="1" t="s">
        <v>55</v>
      </c>
      <c r="I82" s="1" t="str">
        <f t="shared" si="1"/>
        <v>X_Summary_Table$X_Labels[X_Summary_Table$X_Constraints=="X78"] &lt;- "X78: PORO MILIEU 2 SEX 1 AGE 35_plus"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5">
      <c r="A83" t="s">
        <v>135</v>
      </c>
      <c r="B83" s="7">
        <v>11103</v>
      </c>
      <c r="C83" s="8" t="s">
        <v>12</v>
      </c>
      <c r="D83" s="15">
        <v>2</v>
      </c>
      <c r="E83" s="15">
        <v>1</v>
      </c>
      <c r="F83" s="16" t="s">
        <v>8</v>
      </c>
      <c r="G83" s="17"/>
      <c r="H83" s="1" t="s">
        <v>55</v>
      </c>
      <c r="I83" s="1" t="str">
        <f t="shared" si="1"/>
        <v>X_Summary_Table$X_Labels[X_Summary_Table$X_Constraints=="X79"] &lt;- "X79: PORO MILIEU 1 SEX 2 AGE 0_14"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5">
      <c r="A84" t="s">
        <v>136</v>
      </c>
      <c r="B84" s="7">
        <v>11103</v>
      </c>
      <c r="C84" s="8" t="s">
        <v>12</v>
      </c>
      <c r="D84" s="15">
        <v>2</v>
      </c>
      <c r="E84" s="15">
        <v>1</v>
      </c>
      <c r="F84" s="16" t="s">
        <v>9</v>
      </c>
      <c r="G84" s="17"/>
      <c r="H84" s="1" t="s">
        <v>55</v>
      </c>
      <c r="I84" s="1" t="str">
        <f t="shared" si="1"/>
        <v>X_Summary_Table$X_Labels[X_Summary_Table$X_Constraints=="X80"] &lt;- "X80: PORO MILIEU 1 SEX 2 AGE 15_34"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5">
      <c r="A85" t="s">
        <v>137</v>
      </c>
      <c r="B85" s="7">
        <v>11103</v>
      </c>
      <c r="C85" s="8" t="s">
        <v>12</v>
      </c>
      <c r="D85" s="15">
        <v>2</v>
      </c>
      <c r="E85" s="15">
        <v>1</v>
      </c>
      <c r="F85" s="16" t="s">
        <v>10</v>
      </c>
      <c r="G85" s="17"/>
      <c r="H85" s="1" t="s">
        <v>55</v>
      </c>
      <c r="I85" s="1" t="str">
        <f t="shared" si="1"/>
        <v>X_Summary_Table$X_Labels[X_Summary_Table$X_Constraints=="X81"] &lt;- "X81: PORO MILIEU 1 SEX 2 AGE 35_plus"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5">
      <c r="A86" t="s">
        <v>138</v>
      </c>
      <c r="B86" s="7">
        <v>11103</v>
      </c>
      <c r="C86" s="8" t="s">
        <v>12</v>
      </c>
      <c r="D86" s="18">
        <v>2</v>
      </c>
      <c r="E86" s="18">
        <v>2</v>
      </c>
      <c r="F86" s="19" t="s">
        <v>8</v>
      </c>
      <c r="G86" s="20"/>
      <c r="H86" s="1" t="s">
        <v>55</v>
      </c>
      <c r="I86" s="1" t="str">
        <f t="shared" si="1"/>
        <v>X_Summary_Table$X_Labels[X_Summary_Table$X_Constraints=="X82"] &lt;- "X82: PORO MILIEU 2 SEX 2 AGE 0_14"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5">
      <c r="A87" t="s">
        <v>139</v>
      </c>
      <c r="B87" s="7">
        <v>11103</v>
      </c>
      <c r="C87" s="8" t="s">
        <v>12</v>
      </c>
      <c r="D87" s="18">
        <v>2</v>
      </c>
      <c r="E87" s="18">
        <v>2</v>
      </c>
      <c r="F87" s="19" t="s">
        <v>9</v>
      </c>
      <c r="G87" s="20"/>
      <c r="H87" s="1" t="s">
        <v>55</v>
      </c>
      <c r="I87" s="1" t="str">
        <f t="shared" si="1"/>
        <v>X_Summary_Table$X_Labels[X_Summary_Table$X_Constraints=="X83"] &lt;- "X83: PORO MILIEU 2 SEX 2 AGE 15_34"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5">
      <c r="A88" t="s">
        <v>140</v>
      </c>
      <c r="B88" s="7">
        <v>11103</v>
      </c>
      <c r="C88" s="8" t="s">
        <v>12</v>
      </c>
      <c r="D88" s="18">
        <v>2</v>
      </c>
      <c r="E88" s="18">
        <v>2</v>
      </c>
      <c r="F88" s="19" t="s">
        <v>10</v>
      </c>
      <c r="G88" s="20"/>
      <c r="H88" s="1" t="s">
        <v>55</v>
      </c>
      <c r="I88" s="1" t="str">
        <f t="shared" si="1"/>
        <v>X_Summary_Table$X_Labels[X_Summary_Table$X_Constraints=="X84"] &lt;- "X84: PORO MILIEU 2 SEX 2 AGE 35_plus"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5">
      <c r="A89" t="s">
        <v>141</v>
      </c>
      <c r="B89" s="7">
        <v>11204</v>
      </c>
      <c r="C89" s="8" t="s">
        <v>13</v>
      </c>
      <c r="D89" s="9">
        <v>1</v>
      </c>
      <c r="E89" s="9">
        <v>1</v>
      </c>
      <c r="F89" s="10" t="s">
        <v>8</v>
      </c>
      <c r="G89" s="11"/>
      <c r="H89" s="1" t="s">
        <v>55</v>
      </c>
      <c r="I89" s="1" t="str">
        <f t="shared" si="1"/>
        <v>X_Summary_Table$X_Labels[X_Summary_Table$X_Constraints=="X85"] &lt;- "X85: GBEKE MILIEU 1 SEX 1 AGE 0_14"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5">
      <c r="A90" t="s">
        <v>142</v>
      </c>
      <c r="B90" s="7">
        <v>11204</v>
      </c>
      <c r="C90" s="8" t="s">
        <v>13</v>
      </c>
      <c r="D90" s="9">
        <v>1</v>
      </c>
      <c r="E90" s="9">
        <v>1</v>
      </c>
      <c r="F90" s="10" t="s">
        <v>9</v>
      </c>
      <c r="G90" s="11"/>
      <c r="H90" s="1" t="s">
        <v>55</v>
      </c>
      <c r="I90" s="1" t="str">
        <f t="shared" si="1"/>
        <v>X_Summary_Table$X_Labels[X_Summary_Table$X_Constraints=="X86"] &lt;- "X86: GBEKE MILIEU 1 SEX 1 AGE 15_34"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5">
      <c r="A91" t="s">
        <v>143</v>
      </c>
      <c r="B91" s="7">
        <v>11204</v>
      </c>
      <c r="C91" s="8" t="s">
        <v>13</v>
      </c>
      <c r="D91" s="9">
        <v>1</v>
      </c>
      <c r="E91" s="9">
        <v>1</v>
      </c>
      <c r="F91" s="10" t="s">
        <v>10</v>
      </c>
      <c r="G91" s="11"/>
      <c r="H91" s="1" t="s">
        <v>55</v>
      </c>
      <c r="I91" s="1" t="str">
        <f t="shared" si="1"/>
        <v>X_Summary_Table$X_Labels[X_Summary_Table$X_Constraints=="X87"] &lt;- "X87: GBEKE MILIEU 1 SEX 1 AGE 35_plus"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5">
      <c r="A92" t="s">
        <v>144</v>
      </c>
      <c r="B92" s="7">
        <v>11204</v>
      </c>
      <c r="C92" s="8" t="s">
        <v>13</v>
      </c>
      <c r="D92" s="12">
        <v>1</v>
      </c>
      <c r="E92" s="12">
        <v>2</v>
      </c>
      <c r="F92" s="13" t="s">
        <v>8</v>
      </c>
      <c r="G92" s="14"/>
      <c r="H92" s="1" t="s">
        <v>55</v>
      </c>
      <c r="I92" s="1" t="str">
        <f t="shared" si="1"/>
        <v>X_Summary_Table$X_Labels[X_Summary_Table$X_Constraints=="X88"] &lt;- "X88: GBEKE MILIEU 2 SEX 1 AGE 0_14"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5">
      <c r="A93" t="s">
        <v>145</v>
      </c>
      <c r="B93" s="7">
        <v>11204</v>
      </c>
      <c r="C93" s="8" t="s">
        <v>13</v>
      </c>
      <c r="D93" s="12">
        <v>1</v>
      </c>
      <c r="E93" s="12">
        <v>2</v>
      </c>
      <c r="F93" s="13" t="s">
        <v>9</v>
      </c>
      <c r="G93" s="14"/>
      <c r="H93" s="1" t="s">
        <v>55</v>
      </c>
      <c r="I93" s="1" t="str">
        <f t="shared" si="1"/>
        <v>X_Summary_Table$X_Labels[X_Summary_Table$X_Constraints=="X89"] &lt;- "X89: GBEKE MILIEU 2 SEX 1 AGE 15_34"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5">
      <c r="A94" t="s">
        <v>146</v>
      </c>
      <c r="B94" s="7">
        <v>11204</v>
      </c>
      <c r="C94" s="8" t="s">
        <v>13</v>
      </c>
      <c r="D94" s="12">
        <v>1</v>
      </c>
      <c r="E94" s="12">
        <v>2</v>
      </c>
      <c r="F94" s="13" t="s">
        <v>10</v>
      </c>
      <c r="G94" s="14"/>
      <c r="H94" s="1" t="s">
        <v>55</v>
      </c>
      <c r="I94" s="1" t="str">
        <f t="shared" si="1"/>
        <v>X_Summary_Table$X_Labels[X_Summary_Table$X_Constraints=="X90"] &lt;- "X90: GBEKE MILIEU 2 SEX 1 AGE 35_plus"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5">
      <c r="A95" t="s">
        <v>147</v>
      </c>
      <c r="B95" s="7">
        <v>11204</v>
      </c>
      <c r="C95" s="8" t="s">
        <v>13</v>
      </c>
      <c r="D95" s="15">
        <v>2</v>
      </c>
      <c r="E95" s="15">
        <v>1</v>
      </c>
      <c r="F95" s="16" t="s">
        <v>8</v>
      </c>
      <c r="G95" s="17"/>
      <c r="H95" s="1" t="s">
        <v>55</v>
      </c>
      <c r="I95" s="1" t="str">
        <f t="shared" si="1"/>
        <v>X_Summary_Table$X_Labels[X_Summary_Table$X_Constraints=="X91"] &lt;- "X91: GBEKE MILIEU 1 SEX 2 AGE 0_14"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5">
      <c r="A96" t="s">
        <v>148</v>
      </c>
      <c r="B96" s="7">
        <v>11204</v>
      </c>
      <c r="C96" s="8" t="s">
        <v>13</v>
      </c>
      <c r="D96" s="15">
        <v>2</v>
      </c>
      <c r="E96" s="15">
        <v>1</v>
      </c>
      <c r="F96" s="16" t="s">
        <v>9</v>
      </c>
      <c r="G96" s="17"/>
      <c r="H96" s="1" t="s">
        <v>55</v>
      </c>
      <c r="I96" s="1" t="str">
        <f t="shared" si="1"/>
        <v>X_Summary_Table$X_Labels[X_Summary_Table$X_Constraints=="X92"] &lt;- "X92: GBEKE MILIEU 1 SEX 2 AGE 15_34"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5">
      <c r="A97" t="s">
        <v>149</v>
      </c>
      <c r="B97" s="7">
        <v>11204</v>
      </c>
      <c r="C97" s="8" t="s">
        <v>13</v>
      </c>
      <c r="D97" s="15">
        <v>2</v>
      </c>
      <c r="E97" s="15">
        <v>1</v>
      </c>
      <c r="F97" s="16" t="s">
        <v>10</v>
      </c>
      <c r="G97" s="17"/>
      <c r="H97" s="1" t="s">
        <v>55</v>
      </c>
      <c r="I97" s="1" t="str">
        <f t="shared" si="1"/>
        <v>X_Summary_Table$X_Labels[X_Summary_Table$X_Constraints=="X93"] &lt;- "X93: GBEKE MILIEU 1 SEX 2 AGE 35_plus"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5">
      <c r="A98" t="s">
        <v>150</v>
      </c>
      <c r="B98" s="7">
        <v>11204</v>
      </c>
      <c r="C98" s="8" t="s">
        <v>13</v>
      </c>
      <c r="D98" s="18">
        <v>2</v>
      </c>
      <c r="E98" s="18">
        <v>2</v>
      </c>
      <c r="F98" s="19" t="s">
        <v>8</v>
      </c>
      <c r="G98" s="20"/>
      <c r="H98" s="1" t="s">
        <v>55</v>
      </c>
      <c r="I98" s="1" t="str">
        <f t="shared" si="1"/>
        <v>X_Summary_Table$X_Labels[X_Summary_Table$X_Constraints=="X94"] &lt;- "X94: GBEKE MILIEU 2 SEX 2 AGE 0_14"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5">
      <c r="A99" t="s">
        <v>151</v>
      </c>
      <c r="B99" s="7">
        <v>11204</v>
      </c>
      <c r="C99" s="8" t="s">
        <v>13</v>
      </c>
      <c r="D99" s="18">
        <v>2</v>
      </c>
      <c r="E99" s="18">
        <v>2</v>
      </c>
      <c r="F99" s="19" t="s">
        <v>9</v>
      </c>
      <c r="G99" s="20"/>
      <c r="H99" s="1" t="s">
        <v>55</v>
      </c>
      <c r="I99" s="1" t="str">
        <f t="shared" si="1"/>
        <v>X_Summary_Table$X_Labels[X_Summary_Table$X_Constraints=="X95"] &lt;- "X95: GBEKE MILIEU 2 SEX 2 AGE 15_34"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5">
      <c r="A100" t="s">
        <v>152</v>
      </c>
      <c r="B100" s="7">
        <v>11204</v>
      </c>
      <c r="C100" s="8" t="s">
        <v>13</v>
      </c>
      <c r="D100" s="18">
        <v>2</v>
      </c>
      <c r="E100" s="18">
        <v>2</v>
      </c>
      <c r="F100" s="19" t="s">
        <v>10</v>
      </c>
      <c r="G100" s="20"/>
      <c r="H100" s="1" t="s">
        <v>55</v>
      </c>
      <c r="I100" s="1" t="str">
        <f t="shared" si="1"/>
        <v>X_Summary_Table$X_Labels[X_Summary_Table$X_Constraints=="X96"] &lt;- "X96: GBEKE MILIEU 2 SEX 2 AGE 35_plus"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5">
      <c r="A101" t="s">
        <v>153</v>
      </c>
      <c r="B101" s="7">
        <v>10405</v>
      </c>
      <c r="C101" s="8" t="s">
        <v>14</v>
      </c>
      <c r="D101" s="9">
        <v>1</v>
      </c>
      <c r="E101" s="9">
        <v>1</v>
      </c>
      <c r="F101" s="10" t="s">
        <v>8</v>
      </c>
      <c r="G101" s="11"/>
      <c r="H101" s="1" t="s">
        <v>55</v>
      </c>
      <c r="I101" s="1" t="str">
        <f t="shared" si="1"/>
        <v>X_Summary_Table$X_Labels[X_Summary_Table$X_Constraints=="X97"] &lt;- "X97: INDENIE-DJUABLIN MILIEU 1 SEX 1 AGE 0_14"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5">
      <c r="A102" t="s">
        <v>154</v>
      </c>
      <c r="B102" s="7">
        <v>10405</v>
      </c>
      <c r="C102" s="8" t="s">
        <v>14</v>
      </c>
      <c r="D102" s="9">
        <v>1</v>
      </c>
      <c r="E102" s="9">
        <v>1</v>
      </c>
      <c r="F102" s="10" t="s">
        <v>9</v>
      </c>
      <c r="G102" s="11"/>
      <c r="H102" s="1" t="s">
        <v>55</v>
      </c>
      <c r="I102" s="1" t="str">
        <f t="shared" si="1"/>
        <v>X_Summary_Table$X_Labels[X_Summary_Table$X_Constraints=="X98"] &lt;- "X98: INDENIE-DJUABLIN MILIEU 1 SEX 1 AGE 15_34"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5">
      <c r="A103" t="s">
        <v>155</v>
      </c>
      <c r="B103" s="7">
        <v>10405</v>
      </c>
      <c r="C103" s="8" t="s">
        <v>14</v>
      </c>
      <c r="D103" s="9">
        <v>1</v>
      </c>
      <c r="E103" s="9">
        <v>1</v>
      </c>
      <c r="F103" s="10" t="s">
        <v>10</v>
      </c>
      <c r="G103" s="11"/>
      <c r="H103" s="1" t="s">
        <v>55</v>
      </c>
      <c r="I103" s="1" t="str">
        <f t="shared" si="1"/>
        <v>X_Summary_Table$X_Labels[X_Summary_Table$X_Constraints=="X99"] &lt;- "X99: INDENIE-DJUABLIN MILIEU 1 SEX 1 AGE 35_plus"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5">
      <c r="A104" t="s">
        <v>156</v>
      </c>
      <c r="B104" s="7">
        <v>10405</v>
      </c>
      <c r="C104" s="8" t="s">
        <v>14</v>
      </c>
      <c r="D104" s="12">
        <v>1</v>
      </c>
      <c r="E104" s="12">
        <v>2</v>
      </c>
      <c r="F104" s="13" t="s">
        <v>8</v>
      </c>
      <c r="G104" s="14"/>
      <c r="H104" s="1" t="s">
        <v>55</v>
      </c>
      <c r="I104" s="1" t="str">
        <f t="shared" si="1"/>
        <v>X_Summary_Table$X_Labels[X_Summary_Table$X_Constraints=="X100"] &lt;- "X100: INDENIE-DJUABLIN MILIEU 2 SEX 1 AGE 0_14"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5">
      <c r="A105" t="s">
        <v>157</v>
      </c>
      <c r="B105" s="7">
        <v>10405</v>
      </c>
      <c r="C105" s="8" t="s">
        <v>14</v>
      </c>
      <c r="D105" s="12">
        <v>1</v>
      </c>
      <c r="E105" s="12">
        <v>2</v>
      </c>
      <c r="F105" s="13" t="s">
        <v>9</v>
      </c>
      <c r="G105" s="14"/>
      <c r="H105" s="1" t="s">
        <v>55</v>
      </c>
      <c r="I105" s="1" t="str">
        <f t="shared" si="1"/>
        <v>X_Summary_Table$X_Labels[X_Summary_Table$X_Constraints=="X101"] &lt;- "X101: INDENIE-DJUABLIN MILIEU 2 SEX 1 AGE 15_34"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5">
      <c r="A106" t="s">
        <v>158</v>
      </c>
      <c r="B106" s="7">
        <v>10405</v>
      </c>
      <c r="C106" s="8" t="s">
        <v>14</v>
      </c>
      <c r="D106" s="12">
        <v>1</v>
      </c>
      <c r="E106" s="12">
        <v>2</v>
      </c>
      <c r="F106" s="13" t="s">
        <v>10</v>
      </c>
      <c r="G106" s="14"/>
      <c r="H106" s="1" t="s">
        <v>55</v>
      </c>
      <c r="I106" s="1" t="str">
        <f t="shared" si="1"/>
        <v>X_Summary_Table$X_Labels[X_Summary_Table$X_Constraints=="X102"] &lt;- "X102: INDENIE-DJUABLIN MILIEU 2 SEX 1 AGE 35_plus"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5">
      <c r="A107" t="s">
        <v>159</v>
      </c>
      <c r="B107" s="7">
        <v>10405</v>
      </c>
      <c r="C107" s="8" t="s">
        <v>14</v>
      </c>
      <c r="D107" s="15">
        <v>2</v>
      </c>
      <c r="E107" s="15">
        <v>1</v>
      </c>
      <c r="F107" s="16" t="s">
        <v>8</v>
      </c>
      <c r="G107" s="17"/>
      <c r="H107" s="1" t="s">
        <v>55</v>
      </c>
      <c r="I107" s="1" t="str">
        <f t="shared" si="1"/>
        <v>X_Summary_Table$X_Labels[X_Summary_Table$X_Constraints=="X103"] &lt;- "X103: INDENIE-DJUABLIN MILIEU 1 SEX 2 AGE 0_14"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5">
      <c r="A108" t="s">
        <v>160</v>
      </c>
      <c r="B108" s="7">
        <v>10405</v>
      </c>
      <c r="C108" s="8" t="s">
        <v>14</v>
      </c>
      <c r="D108" s="15">
        <v>2</v>
      </c>
      <c r="E108" s="15">
        <v>1</v>
      </c>
      <c r="F108" s="16" t="s">
        <v>9</v>
      </c>
      <c r="G108" s="17"/>
      <c r="H108" s="1" t="s">
        <v>55</v>
      </c>
      <c r="I108" s="1" t="str">
        <f t="shared" si="1"/>
        <v>X_Summary_Table$X_Labels[X_Summary_Table$X_Constraints=="X104"] &lt;- "X104: INDENIE-DJUABLIN MILIEU 1 SEX 2 AGE 15_34"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5">
      <c r="A109" t="s">
        <v>161</v>
      </c>
      <c r="B109" s="7">
        <v>10405</v>
      </c>
      <c r="C109" s="8" t="s">
        <v>14</v>
      </c>
      <c r="D109" s="15">
        <v>2</v>
      </c>
      <c r="E109" s="15">
        <v>1</v>
      </c>
      <c r="F109" s="16" t="s">
        <v>10</v>
      </c>
      <c r="G109" s="17"/>
      <c r="H109" s="1" t="s">
        <v>55</v>
      </c>
      <c r="I109" s="1" t="str">
        <f t="shared" si="1"/>
        <v>X_Summary_Table$X_Labels[X_Summary_Table$X_Constraints=="X105"] &lt;- "X105: INDENIE-DJUABLIN MILIEU 1 SEX 2 AGE 35_plus"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5">
      <c r="A110" t="s">
        <v>162</v>
      </c>
      <c r="B110" s="7">
        <v>10405</v>
      </c>
      <c r="C110" s="8" t="s">
        <v>14</v>
      </c>
      <c r="D110" s="18">
        <v>2</v>
      </c>
      <c r="E110" s="18">
        <v>2</v>
      </c>
      <c r="F110" s="19" t="s">
        <v>8</v>
      </c>
      <c r="G110" s="20"/>
      <c r="H110" s="1" t="s">
        <v>55</v>
      </c>
      <c r="I110" s="1" t="str">
        <f t="shared" si="1"/>
        <v>X_Summary_Table$X_Labels[X_Summary_Table$X_Constraints=="X106"] &lt;- "X106: INDENIE-DJUABLIN MILIEU 2 SEX 2 AGE 0_14"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5">
      <c r="A111" t="s">
        <v>163</v>
      </c>
      <c r="B111" s="7">
        <v>10405</v>
      </c>
      <c r="C111" s="8" t="s">
        <v>14</v>
      </c>
      <c r="D111" s="18">
        <v>2</v>
      </c>
      <c r="E111" s="18">
        <v>2</v>
      </c>
      <c r="F111" s="19" t="s">
        <v>9</v>
      </c>
      <c r="G111" s="20"/>
      <c r="H111" s="1" t="s">
        <v>55</v>
      </c>
      <c r="I111" s="1" t="str">
        <f t="shared" si="1"/>
        <v>X_Summary_Table$X_Labels[X_Summary_Table$X_Constraints=="X107"] &lt;- "X107: INDENIE-DJUABLIN MILIEU 2 SEX 2 AGE 15_34"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5">
      <c r="A112" t="s">
        <v>164</v>
      </c>
      <c r="B112" s="7">
        <v>10405</v>
      </c>
      <c r="C112" s="8" t="s">
        <v>14</v>
      </c>
      <c r="D112" s="18">
        <v>2</v>
      </c>
      <c r="E112" s="18">
        <v>2</v>
      </c>
      <c r="F112" s="19" t="s">
        <v>10</v>
      </c>
      <c r="G112" s="20"/>
      <c r="H112" s="1" t="s">
        <v>55</v>
      </c>
      <c r="I112" s="1" t="str">
        <f t="shared" si="1"/>
        <v>X_Summary_Table$X_Labels[X_Summary_Table$X_Constraints=="X108"] &lt;- "X108: INDENIE-DJUABLIN MILIEU 2 SEX 2 AGE 35_plus"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5">
      <c r="A113" t="s">
        <v>165</v>
      </c>
      <c r="B113" s="7">
        <v>11006</v>
      </c>
      <c r="C113" s="8" t="s">
        <v>15</v>
      </c>
      <c r="D113" s="9">
        <v>1</v>
      </c>
      <c r="E113" s="9">
        <v>1</v>
      </c>
      <c r="F113" s="10" t="s">
        <v>8</v>
      </c>
      <c r="G113" s="11"/>
      <c r="H113" s="1" t="s">
        <v>55</v>
      </c>
      <c r="I113" s="1" t="str">
        <f t="shared" si="1"/>
        <v>X_Summary_Table$X_Labels[X_Summary_Table$X_Constraints=="X109"] &lt;- "X109: TONKPI MILIEU 1 SEX 1 AGE 0_14"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5">
      <c r="A114" t="s">
        <v>166</v>
      </c>
      <c r="B114" s="7">
        <v>11006</v>
      </c>
      <c r="C114" s="8" t="s">
        <v>15</v>
      </c>
      <c r="D114" s="9">
        <v>1</v>
      </c>
      <c r="E114" s="9">
        <v>1</v>
      </c>
      <c r="F114" s="10" t="s">
        <v>9</v>
      </c>
      <c r="G114" s="11"/>
      <c r="H114" s="1" t="s">
        <v>55</v>
      </c>
      <c r="I114" s="1" t="str">
        <f t="shared" si="1"/>
        <v>X_Summary_Table$X_Labels[X_Summary_Table$X_Constraints=="X110"] &lt;- "X110: TONKPI MILIEU 1 SEX 1 AGE 15_34"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5">
      <c r="A115" t="s">
        <v>167</v>
      </c>
      <c r="B115" s="7">
        <v>11006</v>
      </c>
      <c r="C115" s="8" t="s">
        <v>15</v>
      </c>
      <c r="D115" s="9">
        <v>1</v>
      </c>
      <c r="E115" s="9">
        <v>1</v>
      </c>
      <c r="F115" s="10" t="s">
        <v>10</v>
      </c>
      <c r="G115" s="11"/>
      <c r="H115" s="1" t="s">
        <v>55</v>
      </c>
      <c r="I115" s="1" t="str">
        <f t="shared" si="1"/>
        <v>X_Summary_Table$X_Labels[X_Summary_Table$X_Constraints=="X111"] &lt;- "X111: TONKPI MILIEU 1 SEX 1 AGE 35_plus"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5">
      <c r="A116" t="s">
        <v>168</v>
      </c>
      <c r="B116" s="7">
        <v>11006</v>
      </c>
      <c r="C116" s="8" t="s">
        <v>15</v>
      </c>
      <c r="D116" s="12">
        <v>1</v>
      </c>
      <c r="E116" s="12">
        <v>2</v>
      </c>
      <c r="F116" s="13" t="s">
        <v>8</v>
      </c>
      <c r="G116" s="14"/>
      <c r="H116" s="1" t="s">
        <v>55</v>
      </c>
      <c r="I116" s="1" t="str">
        <f t="shared" si="1"/>
        <v>X_Summary_Table$X_Labels[X_Summary_Table$X_Constraints=="X112"] &lt;- "X112: TONKPI MILIEU 2 SEX 1 AGE 0_14"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5">
      <c r="A117" t="s">
        <v>169</v>
      </c>
      <c r="B117" s="7">
        <v>11006</v>
      </c>
      <c r="C117" s="8" t="s">
        <v>15</v>
      </c>
      <c r="D117" s="12">
        <v>1</v>
      </c>
      <c r="E117" s="12">
        <v>2</v>
      </c>
      <c r="F117" s="13" t="s">
        <v>9</v>
      </c>
      <c r="G117" s="14"/>
      <c r="H117" s="1" t="s">
        <v>55</v>
      </c>
      <c r="I117" s="1" t="str">
        <f t="shared" si="1"/>
        <v>X_Summary_Table$X_Labels[X_Summary_Table$X_Constraints=="X113"] &lt;- "X113: TONKPI MILIEU 2 SEX 1 AGE 15_34"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5">
      <c r="A118" t="s">
        <v>170</v>
      </c>
      <c r="B118" s="7">
        <v>11006</v>
      </c>
      <c r="C118" s="8" t="s">
        <v>15</v>
      </c>
      <c r="D118" s="12">
        <v>1</v>
      </c>
      <c r="E118" s="12">
        <v>2</v>
      </c>
      <c r="F118" s="13" t="s">
        <v>10</v>
      </c>
      <c r="G118" s="14"/>
      <c r="H118" s="1" t="s">
        <v>55</v>
      </c>
      <c r="I118" s="1" t="str">
        <f t="shared" ref="I118:I181" si="2">"X_Summary_Table$X_Labels[X_Summary_Table$X_Constraints==" &amp; H118 &amp; A118 &amp; H118 &amp; "] &lt;- " &amp; H118 &amp; A118 &amp; ": " &amp; C118 &amp; " MILIEU " &amp; E118 &amp;" SEX " &amp; D118 &amp;" AGE "&amp; F118 &amp; H118</f>
        <v>X_Summary_Table$X_Labels[X_Summary_Table$X_Constraints=="X114"] &lt;- "X114: TONKPI MILIEU 2 SEX 1 AGE 35_plus"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5">
      <c r="A119" t="s">
        <v>171</v>
      </c>
      <c r="B119" s="7">
        <v>11006</v>
      </c>
      <c r="C119" s="8" t="s">
        <v>15</v>
      </c>
      <c r="D119" s="15">
        <v>2</v>
      </c>
      <c r="E119" s="15">
        <v>1</v>
      </c>
      <c r="F119" s="16" t="s">
        <v>8</v>
      </c>
      <c r="G119" s="17"/>
      <c r="H119" s="1" t="s">
        <v>55</v>
      </c>
      <c r="I119" s="1" t="str">
        <f t="shared" si="2"/>
        <v>X_Summary_Table$X_Labels[X_Summary_Table$X_Constraints=="X115"] &lt;- "X115: TONKPI MILIEU 1 SEX 2 AGE 0_14"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5">
      <c r="A120" t="s">
        <v>172</v>
      </c>
      <c r="B120" s="7">
        <v>11006</v>
      </c>
      <c r="C120" s="8" t="s">
        <v>15</v>
      </c>
      <c r="D120" s="15">
        <v>2</v>
      </c>
      <c r="E120" s="15">
        <v>1</v>
      </c>
      <c r="F120" s="16" t="s">
        <v>9</v>
      </c>
      <c r="G120" s="17"/>
      <c r="H120" s="1" t="s">
        <v>55</v>
      </c>
      <c r="I120" s="1" t="str">
        <f t="shared" si="2"/>
        <v>X_Summary_Table$X_Labels[X_Summary_Table$X_Constraints=="X116"] &lt;- "X116: TONKPI MILIEU 1 SEX 2 AGE 15_34"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5">
      <c r="A121" t="s">
        <v>173</v>
      </c>
      <c r="B121" s="7">
        <v>11006</v>
      </c>
      <c r="C121" s="8" t="s">
        <v>15</v>
      </c>
      <c r="D121" s="15">
        <v>2</v>
      </c>
      <c r="E121" s="15">
        <v>1</v>
      </c>
      <c r="F121" s="16" t="s">
        <v>10</v>
      </c>
      <c r="G121" s="17"/>
      <c r="H121" s="1" t="s">
        <v>55</v>
      </c>
      <c r="I121" s="1" t="str">
        <f t="shared" si="2"/>
        <v>X_Summary_Table$X_Labels[X_Summary_Table$X_Constraints=="X117"] &lt;- "X117: TONKPI MILIEU 1 SEX 2 AGE 35_plus"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5">
      <c r="A122" t="s">
        <v>174</v>
      </c>
      <c r="B122" s="7">
        <v>11006</v>
      </c>
      <c r="C122" s="8" t="s">
        <v>15</v>
      </c>
      <c r="D122" s="18">
        <v>2</v>
      </c>
      <c r="E122" s="18">
        <v>2</v>
      </c>
      <c r="F122" s="19" t="s">
        <v>8</v>
      </c>
      <c r="G122" s="20"/>
      <c r="H122" s="1" t="s">
        <v>55</v>
      </c>
      <c r="I122" s="1" t="str">
        <f t="shared" si="2"/>
        <v>X_Summary_Table$X_Labels[X_Summary_Table$X_Constraints=="X118"] &lt;- "X118: TONKPI MILIEU 2 SEX 2 AGE 0_14"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5">
      <c r="A123" t="s">
        <v>175</v>
      </c>
      <c r="B123" s="7">
        <v>11006</v>
      </c>
      <c r="C123" s="8" t="s">
        <v>15</v>
      </c>
      <c r="D123" s="18">
        <v>2</v>
      </c>
      <c r="E123" s="18">
        <v>2</v>
      </c>
      <c r="F123" s="19" t="s">
        <v>9</v>
      </c>
      <c r="G123" s="20"/>
      <c r="H123" s="1" t="s">
        <v>55</v>
      </c>
      <c r="I123" s="1" t="str">
        <f t="shared" si="2"/>
        <v>X_Summary_Table$X_Labels[X_Summary_Table$X_Constraints=="X119"] &lt;- "X119: TONKPI MILIEU 2 SEX 2 AGE 15_34"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5">
      <c r="A124" t="s">
        <v>176</v>
      </c>
      <c r="B124" s="7">
        <v>11006</v>
      </c>
      <c r="C124" s="8" t="s">
        <v>15</v>
      </c>
      <c r="D124" s="18">
        <v>2</v>
      </c>
      <c r="E124" s="18">
        <v>2</v>
      </c>
      <c r="F124" s="19" t="s">
        <v>10</v>
      </c>
      <c r="G124" s="20"/>
      <c r="H124" s="1" t="s">
        <v>55</v>
      </c>
      <c r="I124" s="1" t="str">
        <f t="shared" si="2"/>
        <v>X_Summary_Table$X_Labels[X_Summary_Table$X_Constraints=="X120"] &lt;- "X120: TONKPI MILIEU 2 SEX 2 AGE 35_plus"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5">
      <c r="A125" t="s">
        <v>177</v>
      </c>
      <c r="B125" s="7">
        <v>10207</v>
      </c>
      <c r="C125" s="8" t="s">
        <v>16</v>
      </c>
      <c r="D125" s="9">
        <v>1</v>
      </c>
      <c r="E125" s="9">
        <v>1</v>
      </c>
      <c r="F125" s="10" t="s">
        <v>8</v>
      </c>
      <c r="G125" s="11"/>
      <c r="H125" s="1" t="s">
        <v>55</v>
      </c>
      <c r="I125" s="1" t="str">
        <f t="shared" si="2"/>
        <v>X_Summary_Table$X_Labels[X_Summary_Table$X_Constraints=="X121"] &lt;- "X121: YAMOUSSOUKRO MILIEU 1 SEX 1 AGE 0_14"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5">
      <c r="A126" t="s">
        <v>178</v>
      </c>
      <c r="B126" s="7">
        <v>10207</v>
      </c>
      <c r="C126" s="8" t="s">
        <v>16</v>
      </c>
      <c r="D126" s="9">
        <v>1</v>
      </c>
      <c r="E126" s="9">
        <v>1</v>
      </c>
      <c r="F126" s="10" t="s">
        <v>9</v>
      </c>
      <c r="G126" s="11"/>
      <c r="H126" s="1" t="s">
        <v>55</v>
      </c>
      <c r="I126" s="1" t="str">
        <f t="shared" si="2"/>
        <v>X_Summary_Table$X_Labels[X_Summary_Table$X_Constraints=="X122"] &lt;- "X122: YAMOUSSOUKRO MILIEU 1 SEX 1 AGE 15_34"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5">
      <c r="A127" t="s">
        <v>179</v>
      </c>
      <c r="B127" s="7">
        <v>10207</v>
      </c>
      <c r="C127" s="8" t="s">
        <v>16</v>
      </c>
      <c r="D127" s="9">
        <v>1</v>
      </c>
      <c r="E127" s="9">
        <v>1</v>
      </c>
      <c r="F127" s="10" t="s">
        <v>10</v>
      </c>
      <c r="G127" s="11"/>
      <c r="H127" s="1" t="s">
        <v>55</v>
      </c>
      <c r="I127" s="1" t="str">
        <f t="shared" si="2"/>
        <v>X_Summary_Table$X_Labels[X_Summary_Table$X_Constraints=="X123"] &lt;- "X123: YAMOUSSOUKRO MILIEU 1 SEX 1 AGE 35_plus"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5">
      <c r="A128" t="s">
        <v>180</v>
      </c>
      <c r="B128" s="7">
        <v>10207</v>
      </c>
      <c r="C128" s="8" t="s">
        <v>16</v>
      </c>
      <c r="D128" s="12">
        <v>1</v>
      </c>
      <c r="E128" s="12">
        <v>2</v>
      </c>
      <c r="F128" s="13" t="s">
        <v>8</v>
      </c>
      <c r="G128" s="14"/>
      <c r="H128" s="1" t="s">
        <v>55</v>
      </c>
      <c r="I128" s="1" t="str">
        <f t="shared" si="2"/>
        <v>X_Summary_Table$X_Labels[X_Summary_Table$X_Constraints=="X124"] &lt;- "X124: YAMOUSSOUKRO MILIEU 2 SEX 1 AGE 0_14"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5">
      <c r="A129" t="s">
        <v>181</v>
      </c>
      <c r="B129" s="7">
        <v>10207</v>
      </c>
      <c r="C129" s="8" t="s">
        <v>16</v>
      </c>
      <c r="D129" s="12">
        <v>1</v>
      </c>
      <c r="E129" s="12">
        <v>2</v>
      </c>
      <c r="F129" s="13" t="s">
        <v>9</v>
      </c>
      <c r="G129" s="14"/>
      <c r="H129" s="1" t="s">
        <v>55</v>
      </c>
      <c r="I129" s="1" t="str">
        <f t="shared" si="2"/>
        <v>X_Summary_Table$X_Labels[X_Summary_Table$X_Constraints=="X125"] &lt;- "X125: YAMOUSSOUKRO MILIEU 2 SEX 1 AGE 15_34"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5">
      <c r="A130" t="s">
        <v>182</v>
      </c>
      <c r="B130" s="7">
        <v>10207</v>
      </c>
      <c r="C130" s="8" t="s">
        <v>16</v>
      </c>
      <c r="D130" s="12">
        <v>1</v>
      </c>
      <c r="E130" s="12">
        <v>2</v>
      </c>
      <c r="F130" s="13" t="s">
        <v>10</v>
      </c>
      <c r="G130" s="14"/>
      <c r="H130" s="1" t="s">
        <v>55</v>
      </c>
      <c r="I130" s="1" t="str">
        <f t="shared" si="2"/>
        <v>X_Summary_Table$X_Labels[X_Summary_Table$X_Constraints=="X126"] &lt;- "X126: YAMOUSSOUKRO MILIEU 2 SEX 1 AGE 35_plus"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5">
      <c r="A131" t="s">
        <v>183</v>
      </c>
      <c r="B131" s="7">
        <v>10207</v>
      </c>
      <c r="C131" s="8" t="s">
        <v>16</v>
      </c>
      <c r="D131" s="15">
        <v>2</v>
      </c>
      <c r="E131" s="15">
        <v>1</v>
      </c>
      <c r="F131" s="16" t="s">
        <v>8</v>
      </c>
      <c r="G131" s="17"/>
      <c r="H131" s="1" t="s">
        <v>55</v>
      </c>
      <c r="I131" s="1" t="str">
        <f t="shared" si="2"/>
        <v>X_Summary_Table$X_Labels[X_Summary_Table$X_Constraints=="X127"] &lt;- "X127: YAMOUSSOUKRO MILIEU 1 SEX 2 AGE 0_14"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5">
      <c r="A132" t="s">
        <v>184</v>
      </c>
      <c r="B132" s="7">
        <v>10207</v>
      </c>
      <c r="C132" s="8" t="s">
        <v>16</v>
      </c>
      <c r="D132" s="15">
        <v>2</v>
      </c>
      <c r="E132" s="15">
        <v>1</v>
      </c>
      <c r="F132" s="16" t="s">
        <v>9</v>
      </c>
      <c r="G132" s="17"/>
      <c r="H132" s="1" t="s">
        <v>55</v>
      </c>
      <c r="I132" s="1" t="str">
        <f t="shared" si="2"/>
        <v>X_Summary_Table$X_Labels[X_Summary_Table$X_Constraints=="X128"] &lt;- "X128: YAMOUSSOUKRO MILIEU 1 SEX 2 AGE 15_34"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5">
      <c r="A133" t="s">
        <v>185</v>
      </c>
      <c r="B133" s="7">
        <v>10207</v>
      </c>
      <c r="C133" s="8" t="s">
        <v>16</v>
      </c>
      <c r="D133" s="15">
        <v>2</v>
      </c>
      <c r="E133" s="15">
        <v>1</v>
      </c>
      <c r="F133" s="16" t="s">
        <v>10</v>
      </c>
      <c r="G133" s="17"/>
      <c r="H133" s="1" t="s">
        <v>55</v>
      </c>
      <c r="I133" s="1" t="str">
        <f t="shared" si="2"/>
        <v>X_Summary_Table$X_Labels[X_Summary_Table$X_Constraints=="X129"] &lt;- "X129: YAMOUSSOUKRO MILIEU 1 SEX 2 AGE 35_plus"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5">
      <c r="A134" t="s">
        <v>186</v>
      </c>
      <c r="B134" s="7">
        <v>10207</v>
      </c>
      <c r="C134" s="8" t="s">
        <v>16</v>
      </c>
      <c r="D134" s="18">
        <v>2</v>
      </c>
      <c r="E134" s="18">
        <v>2</v>
      </c>
      <c r="F134" s="19" t="s">
        <v>8</v>
      </c>
      <c r="G134" s="20"/>
      <c r="H134" s="1" t="s">
        <v>55</v>
      </c>
      <c r="I134" s="1" t="str">
        <f t="shared" si="2"/>
        <v>X_Summary_Table$X_Labels[X_Summary_Table$X_Constraints=="X130"] &lt;- "X130: YAMOUSSOUKRO MILIEU 2 SEX 2 AGE 0_14"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5">
      <c r="A135" t="s">
        <v>187</v>
      </c>
      <c r="B135" s="7">
        <v>10207</v>
      </c>
      <c r="C135" s="8" t="s">
        <v>16</v>
      </c>
      <c r="D135" s="18">
        <v>2</v>
      </c>
      <c r="E135" s="18">
        <v>2</v>
      </c>
      <c r="F135" s="19" t="s">
        <v>9</v>
      </c>
      <c r="G135" s="20"/>
      <c r="H135" s="1" t="s">
        <v>55</v>
      </c>
      <c r="I135" s="1" t="str">
        <f t="shared" si="2"/>
        <v>X_Summary_Table$X_Labels[X_Summary_Table$X_Constraints=="X131"] &lt;- "X131: YAMOUSSOUKRO MILIEU 2 SEX 2 AGE 15_34"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5">
      <c r="A136" t="s">
        <v>188</v>
      </c>
      <c r="B136" s="7">
        <v>10207</v>
      </c>
      <c r="C136" s="8" t="s">
        <v>16</v>
      </c>
      <c r="D136" s="18">
        <v>2</v>
      </c>
      <c r="E136" s="18">
        <v>2</v>
      </c>
      <c r="F136" s="19" t="s">
        <v>10</v>
      </c>
      <c r="G136" s="20"/>
      <c r="H136" s="1" t="s">
        <v>55</v>
      </c>
      <c r="I136" s="1" t="str">
        <f t="shared" si="2"/>
        <v>X_Summary_Table$X_Labels[X_Summary_Table$X_Constraints=="X132"] &lt;- "X132: YAMOUSSOUKRO MILIEU 2 SEX 2 AGE 35_plus"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5">
      <c r="A137" t="s">
        <v>189</v>
      </c>
      <c r="B137" s="7">
        <v>11408</v>
      </c>
      <c r="C137" s="8" t="s">
        <v>17</v>
      </c>
      <c r="D137" s="9">
        <v>1</v>
      </c>
      <c r="E137" s="9">
        <v>1</v>
      </c>
      <c r="F137" s="10" t="s">
        <v>8</v>
      </c>
      <c r="G137" s="11"/>
      <c r="H137" s="1" t="s">
        <v>55</v>
      </c>
      <c r="I137" s="1" t="str">
        <f t="shared" si="2"/>
        <v>X_Summary_Table$X_Labels[X_Summary_Table$X_Constraints=="X133"] &lt;- "X133: GONTOUGO MILIEU 1 SEX 1 AGE 0_14"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5">
      <c r="A138" t="s">
        <v>190</v>
      </c>
      <c r="B138" s="7">
        <v>11408</v>
      </c>
      <c r="C138" s="8" t="s">
        <v>17</v>
      </c>
      <c r="D138" s="9">
        <v>1</v>
      </c>
      <c r="E138" s="9">
        <v>1</v>
      </c>
      <c r="F138" s="10" t="s">
        <v>9</v>
      </c>
      <c r="G138" s="11"/>
      <c r="H138" s="1" t="s">
        <v>55</v>
      </c>
      <c r="I138" s="1" t="str">
        <f t="shared" si="2"/>
        <v>X_Summary_Table$X_Labels[X_Summary_Table$X_Constraints=="X134"] &lt;- "X134: GONTOUGO MILIEU 1 SEX 1 AGE 15_34"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5">
      <c r="A139" t="s">
        <v>191</v>
      </c>
      <c r="B139" s="7">
        <v>11408</v>
      </c>
      <c r="C139" s="8" t="s">
        <v>17</v>
      </c>
      <c r="D139" s="9">
        <v>1</v>
      </c>
      <c r="E139" s="9">
        <v>1</v>
      </c>
      <c r="F139" s="10" t="s">
        <v>10</v>
      </c>
      <c r="G139" s="11"/>
      <c r="H139" s="1" t="s">
        <v>55</v>
      </c>
      <c r="I139" s="1" t="str">
        <f t="shared" si="2"/>
        <v>X_Summary_Table$X_Labels[X_Summary_Table$X_Constraints=="X135"] &lt;- "X135: GONTOUGO MILIEU 1 SEX 1 AGE 35_plus"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5">
      <c r="A140" t="s">
        <v>192</v>
      </c>
      <c r="B140" s="7">
        <v>11408</v>
      </c>
      <c r="C140" s="8" t="s">
        <v>17</v>
      </c>
      <c r="D140" s="12">
        <v>1</v>
      </c>
      <c r="E140" s="12">
        <v>2</v>
      </c>
      <c r="F140" s="13" t="s">
        <v>8</v>
      </c>
      <c r="G140" s="14"/>
      <c r="H140" s="1" t="s">
        <v>55</v>
      </c>
      <c r="I140" s="1" t="str">
        <f t="shared" si="2"/>
        <v>X_Summary_Table$X_Labels[X_Summary_Table$X_Constraints=="X136"] &lt;- "X136: GONTOUGO MILIEU 2 SEX 1 AGE 0_14"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5">
      <c r="A141" t="s">
        <v>193</v>
      </c>
      <c r="B141" s="7">
        <v>11408</v>
      </c>
      <c r="C141" s="8" t="s">
        <v>17</v>
      </c>
      <c r="D141" s="12">
        <v>1</v>
      </c>
      <c r="E141" s="12">
        <v>2</v>
      </c>
      <c r="F141" s="13" t="s">
        <v>9</v>
      </c>
      <c r="G141" s="14"/>
      <c r="H141" s="1" t="s">
        <v>55</v>
      </c>
      <c r="I141" s="1" t="str">
        <f t="shared" si="2"/>
        <v>X_Summary_Table$X_Labels[X_Summary_Table$X_Constraints=="X137"] &lt;- "X137: GONTOUGO MILIEU 2 SEX 1 AGE 15_34"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5">
      <c r="A142" t="s">
        <v>194</v>
      </c>
      <c r="B142" s="7">
        <v>11408</v>
      </c>
      <c r="C142" s="8" t="s">
        <v>17</v>
      </c>
      <c r="D142" s="12">
        <v>1</v>
      </c>
      <c r="E142" s="12">
        <v>2</v>
      </c>
      <c r="F142" s="13" t="s">
        <v>10</v>
      </c>
      <c r="G142" s="14"/>
      <c r="H142" s="1" t="s">
        <v>55</v>
      </c>
      <c r="I142" s="1" t="str">
        <f t="shared" si="2"/>
        <v>X_Summary_Table$X_Labels[X_Summary_Table$X_Constraints=="X138"] &lt;- "X138: GONTOUGO MILIEU 2 SEX 1 AGE 35_plus"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5">
      <c r="A143" t="s">
        <v>195</v>
      </c>
      <c r="B143" s="7">
        <v>11408</v>
      </c>
      <c r="C143" s="8" t="s">
        <v>17</v>
      </c>
      <c r="D143" s="15">
        <v>2</v>
      </c>
      <c r="E143" s="15">
        <v>1</v>
      </c>
      <c r="F143" s="16" t="s">
        <v>8</v>
      </c>
      <c r="G143" s="17"/>
      <c r="H143" s="1" t="s">
        <v>55</v>
      </c>
      <c r="I143" s="1" t="str">
        <f t="shared" si="2"/>
        <v>X_Summary_Table$X_Labels[X_Summary_Table$X_Constraints=="X139"] &lt;- "X139: GONTOUGO MILIEU 1 SEX 2 AGE 0_14"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5">
      <c r="A144" t="s">
        <v>196</v>
      </c>
      <c r="B144" s="7">
        <v>11408</v>
      </c>
      <c r="C144" s="8" t="s">
        <v>17</v>
      </c>
      <c r="D144" s="15">
        <v>2</v>
      </c>
      <c r="E144" s="15">
        <v>1</v>
      </c>
      <c r="F144" s="16" t="s">
        <v>9</v>
      </c>
      <c r="G144" s="17"/>
      <c r="H144" s="1" t="s">
        <v>55</v>
      </c>
      <c r="I144" s="1" t="str">
        <f t="shared" si="2"/>
        <v>X_Summary_Table$X_Labels[X_Summary_Table$X_Constraints=="X140"] &lt;- "X140: GONTOUGO MILIEU 1 SEX 2 AGE 15_34"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5">
      <c r="A145" t="s">
        <v>197</v>
      </c>
      <c r="B145" s="7">
        <v>11408</v>
      </c>
      <c r="C145" s="8" t="s">
        <v>17</v>
      </c>
      <c r="D145" s="15">
        <v>2</v>
      </c>
      <c r="E145" s="15">
        <v>1</v>
      </c>
      <c r="F145" s="16" t="s">
        <v>10</v>
      </c>
      <c r="G145" s="17"/>
      <c r="H145" s="1" t="s">
        <v>55</v>
      </c>
      <c r="I145" s="1" t="str">
        <f t="shared" si="2"/>
        <v>X_Summary_Table$X_Labels[X_Summary_Table$X_Constraints=="X141"] &lt;- "X141: GONTOUGO MILIEU 1 SEX 2 AGE 35_plus"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5">
      <c r="A146" t="s">
        <v>198</v>
      </c>
      <c r="B146" s="7">
        <v>11408</v>
      </c>
      <c r="C146" s="8" t="s">
        <v>17</v>
      </c>
      <c r="D146" s="18">
        <v>2</v>
      </c>
      <c r="E146" s="18">
        <v>2</v>
      </c>
      <c r="F146" s="19" t="s">
        <v>8</v>
      </c>
      <c r="G146" s="20"/>
      <c r="H146" s="1" t="s">
        <v>55</v>
      </c>
      <c r="I146" s="1" t="str">
        <f t="shared" si="2"/>
        <v>X_Summary_Table$X_Labels[X_Summary_Table$X_Constraints=="X142"] &lt;- "X142: GONTOUGO MILIEU 2 SEX 2 AGE 0_14"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5">
      <c r="A147" t="s">
        <v>199</v>
      </c>
      <c r="B147" s="7">
        <v>11408</v>
      </c>
      <c r="C147" s="8" t="s">
        <v>17</v>
      </c>
      <c r="D147" s="18">
        <v>2</v>
      </c>
      <c r="E147" s="18">
        <v>2</v>
      </c>
      <c r="F147" s="19" t="s">
        <v>9</v>
      </c>
      <c r="G147" s="20"/>
      <c r="H147" s="1" t="s">
        <v>55</v>
      </c>
      <c r="I147" s="1" t="str">
        <f t="shared" si="2"/>
        <v>X_Summary_Table$X_Labels[X_Summary_Table$X_Constraints=="X143"] &lt;- "X143: GONTOUGO MILIEU 2 SEX 2 AGE 15_34"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5">
      <c r="A148" t="s">
        <v>200</v>
      </c>
      <c r="B148" s="7">
        <v>11408</v>
      </c>
      <c r="C148" s="8" t="s">
        <v>17</v>
      </c>
      <c r="D148" s="18">
        <v>2</v>
      </c>
      <c r="E148" s="18">
        <v>2</v>
      </c>
      <c r="F148" s="19" t="s">
        <v>10</v>
      </c>
      <c r="G148" s="20"/>
      <c r="H148" s="1" t="s">
        <v>55</v>
      </c>
      <c r="I148" s="1" t="str">
        <f t="shared" si="2"/>
        <v>X_Summary_Table$X_Labels[X_Summary_Table$X_Constraints=="X144"] &lt;- "X144: GONTOUGO MILIEU 2 SEX 2 AGE 35_plus"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5">
      <c r="A149" t="s">
        <v>201</v>
      </c>
      <c r="B149" s="7">
        <v>10309</v>
      </c>
      <c r="C149" s="8" t="s">
        <v>18</v>
      </c>
      <c r="D149" s="9">
        <v>1</v>
      </c>
      <c r="E149" s="9">
        <v>1</v>
      </c>
      <c r="F149" s="10" t="s">
        <v>8</v>
      </c>
      <c r="G149" s="11"/>
      <c r="H149" s="1" t="s">
        <v>55</v>
      </c>
      <c r="I149" s="1" t="str">
        <f t="shared" si="2"/>
        <v>X_Summary_Table$X_Labels[X_Summary_Table$X_Constraints=="X145"] &lt;- "X145: SAN-PEDRO MILIEU 1 SEX 1 AGE 0_14"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5">
      <c r="A150" t="s">
        <v>202</v>
      </c>
      <c r="B150" s="7">
        <v>10309</v>
      </c>
      <c r="C150" s="8" t="s">
        <v>18</v>
      </c>
      <c r="D150" s="9">
        <v>1</v>
      </c>
      <c r="E150" s="9">
        <v>1</v>
      </c>
      <c r="F150" s="10" t="s">
        <v>9</v>
      </c>
      <c r="G150" s="11"/>
      <c r="H150" s="1" t="s">
        <v>55</v>
      </c>
      <c r="I150" s="1" t="str">
        <f t="shared" si="2"/>
        <v>X_Summary_Table$X_Labels[X_Summary_Table$X_Constraints=="X146"] &lt;- "X146: SAN-PEDRO MILIEU 1 SEX 1 AGE 15_34"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5">
      <c r="A151" t="s">
        <v>203</v>
      </c>
      <c r="B151" s="7">
        <v>10309</v>
      </c>
      <c r="C151" s="8" t="s">
        <v>18</v>
      </c>
      <c r="D151" s="9">
        <v>1</v>
      </c>
      <c r="E151" s="9">
        <v>1</v>
      </c>
      <c r="F151" s="10" t="s">
        <v>10</v>
      </c>
      <c r="G151" s="11"/>
      <c r="H151" s="1" t="s">
        <v>55</v>
      </c>
      <c r="I151" s="1" t="str">
        <f t="shared" si="2"/>
        <v>X_Summary_Table$X_Labels[X_Summary_Table$X_Constraints=="X147"] &lt;- "X147: SAN-PEDRO MILIEU 1 SEX 1 AGE 35_plus"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5">
      <c r="A152" t="s">
        <v>204</v>
      </c>
      <c r="B152" s="7">
        <v>10309</v>
      </c>
      <c r="C152" s="8" t="s">
        <v>18</v>
      </c>
      <c r="D152" s="12">
        <v>1</v>
      </c>
      <c r="E152" s="12">
        <v>2</v>
      </c>
      <c r="F152" s="13" t="s">
        <v>8</v>
      </c>
      <c r="G152" s="14"/>
      <c r="H152" s="1" t="s">
        <v>55</v>
      </c>
      <c r="I152" s="1" t="str">
        <f t="shared" si="2"/>
        <v>X_Summary_Table$X_Labels[X_Summary_Table$X_Constraints=="X148"] &lt;- "X148: SAN-PEDRO MILIEU 2 SEX 1 AGE 0_14"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5">
      <c r="A153" t="s">
        <v>205</v>
      </c>
      <c r="B153" s="7">
        <v>10309</v>
      </c>
      <c r="C153" s="8" t="s">
        <v>18</v>
      </c>
      <c r="D153" s="12">
        <v>1</v>
      </c>
      <c r="E153" s="12">
        <v>2</v>
      </c>
      <c r="F153" s="13" t="s">
        <v>9</v>
      </c>
      <c r="G153" s="14"/>
      <c r="H153" s="1" t="s">
        <v>55</v>
      </c>
      <c r="I153" s="1" t="str">
        <f t="shared" si="2"/>
        <v>X_Summary_Table$X_Labels[X_Summary_Table$X_Constraints=="X149"] &lt;- "X149: SAN-PEDRO MILIEU 2 SEX 1 AGE 15_34"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5">
      <c r="A154" t="s">
        <v>206</v>
      </c>
      <c r="B154" s="7">
        <v>10309</v>
      </c>
      <c r="C154" s="8" t="s">
        <v>18</v>
      </c>
      <c r="D154" s="12">
        <v>1</v>
      </c>
      <c r="E154" s="12">
        <v>2</v>
      </c>
      <c r="F154" s="13" t="s">
        <v>10</v>
      </c>
      <c r="G154" s="14"/>
      <c r="H154" s="1" t="s">
        <v>55</v>
      </c>
      <c r="I154" s="1" t="str">
        <f t="shared" si="2"/>
        <v>X_Summary_Table$X_Labels[X_Summary_Table$X_Constraints=="X150"] &lt;- "X150: SAN-PEDRO MILIEU 2 SEX 1 AGE 35_plus"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5">
      <c r="A155" t="s">
        <v>207</v>
      </c>
      <c r="B155" s="7">
        <v>10309</v>
      </c>
      <c r="C155" s="8" t="s">
        <v>18</v>
      </c>
      <c r="D155" s="15">
        <v>2</v>
      </c>
      <c r="E155" s="15">
        <v>1</v>
      </c>
      <c r="F155" s="16" t="s">
        <v>8</v>
      </c>
      <c r="G155" s="17"/>
      <c r="H155" s="1" t="s">
        <v>55</v>
      </c>
      <c r="I155" s="1" t="str">
        <f t="shared" si="2"/>
        <v>X_Summary_Table$X_Labels[X_Summary_Table$X_Constraints=="X151"] &lt;- "X151: SAN-PEDRO MILIEU 1 SEX 2 AGE 0_14"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5">
      <c r="A156" t="s">
        <v>208</v>
      </c>
      <c r="B156" s="7">
        <v>10309</v>
      </c>
      <c r="C156" s="8" t="s">
        <v>18</v>
      </c>
      <c r="D156" s="15">
        <v>2</v>
      </c>
      <c r="E156" s="15">
        <v>1</v>
      </c>
      <c r="F156" s="16" t="s">
        <v>9</v>
      </c>
      <c r="G156" s="17"/>
      <c r="H156" s="1" t="s">
        <v>55</v>
      </c>
      <c r="I156" s="1" t="str">
        <f t="shared" si="2"/>
        <v>X_Summary_Table$X_Labels[X_Summary_Table$X_Constraints=="X152"] &lt;- "X152: SAN-PEDRO MILIEU 1 SEX 2 AGE 15_34"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5">
      <c r="A157" t="s">
        <v>209</v>
      </c>
      <c r="B157" s="7">
        <v>10309</v>
      </c>
      <c r="C157" s="8" t="s">
        <v>18</v>
      </c>
      <c r="D157" s="15">
        <v>2</v>
      </c>
      <c r="E157" s="15">
        <v>1</v>
      </c>
      <c r="F157" s="16" t="s">
        <v>10</v>
      </c>
      <c r="G157" s="17"/>
      <c r="H157" s="1" t="s">
        <v>55</v>
      </c>
      <c r="I157" s="1" t="str">
        <f t="shared" si="2"/>
        <v>X_Summary_Table$X_Labels[X_Summary_Table$X_Constraints=="X153"] &lt;- "X153: SAN-PEDRO MILIEU 1 SEX 2 AGE 35_plus"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5">
      <c r="A158" t="s">
        <v>210</v>
      </c>
      <c r="B158" s="7">
        <v>10309</v>
      </c>
      <c r="C158" s="8" t="s">
        <v>18</v>
      </c>
      <c r="D158" s="18">
        <v>2</v>
      </c>
      <c r="E158" s="18">
        <v>2</v>
      </c>
      <c r="F158" s="19" t="s">
        <v>8</v>
      </c>
      <c r="G158" s="20"/>
      <c r="H158" s="1" t="s">
        <v>55</v>
      </c>
      <c r="I158" s="1" t="str">
        <f t="shared" si="2"/>
        <v>X_Summary_Table$X_Labels[X_Summary_Table$X_Constraints=="X154"] &lt;- "X154: SAN-PEDRO MILIEU 2 SEX 2 AGE 0_14"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5">
      <c r="A159" t="s">
        <v>211</v>
      </c>
      <c r="B159" s="7">
        <v>10309</v>
      </c>
      <c r="C159" s="8" t="s">
        <v>18</v>
      </c>
      <c r="D159" s="18">
        <v>2</v>
      </c>
      <c r="E159" s="18">
        <v>2</v>
      </c>
      <c r="F159" s="19" t="s">
        <v>9</v>
      </c>
      <c r="G159" s="20"/>
      <c r="H159" s="1" t="s">
        <v>55</v>
      </c>
      <c r="I159" s="1" t="str">
        <f t="shared" si="2"/>
        <v>X_Summary_Table$X_Labels[X_Summary_Table$X_Constraints=="X155"] &lt;- "X155: SAN-PEDRO MILIEU 2 SEX 2 AGE 15_34"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5">
      <c r="A160" t="s">
        <v>212</v>
      </c>
      <c r="B160" s="7">
        <v>10309</v>
      </c>
      <c r="C160" s="8" t="s">
        <v>18</v>
      </c>
      <c r="D160" s="18">
        <v>2</v>
      </c>
      <c r="E160" s="18">
        <v>2</v>
      </c>
      <c r="F160" s="19" t="s">
        <v>10</v>
      </c>
      <c r="G160" s="20"/>
      <c r="H160" s="1" t="s">
        <v>55</v>
      </c>
      <c r="I160" s="1" t="str">
        <f t="shared" si="2"/>
        <v>X_Summary_Table$X_Labels[X_Summary_Table$X_Constraints=="X156"] &lt;- "X156: SAN-PEDRO MILIEU 2 SEX 2 AGE 35_plus"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5">
      <c r="A161" t="s">
        <v>213</v>
      </c>
      <c r="B161" s="7">
        <v>10510</v>
      </c>
      <c r="C161" s="8" t="s">
        <v>19</v>
      </c>
      <c r="D161" s="9">
        <v>1</v>
      </c>
      <c r="E161" s="9">
        <v>1</v>
      </c>
      <c r="F161" s="10" t="s">
        <v>8</v>
      </c>
      <c r="G161" s="11"/>
      <c r="H161" s="1" t="s">
        <v>55</v>
      </c>
      <c r="I161" s="1" t="str">
        <f t="shared" si="2"/>
        <v>X_Summary_Table$X_Labels[X_Summary_Table$X_Constraints=="X157"] &lt;- "X157: KABADOUGOU MILIEU 1 SEX 1 AGE 0_14"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5">
      <c r="A162" t="s">
        <v>214</v>
      </c>
      <c r="B162" s="7">
        <v>10510</v>
      </c>
      <c r="C162" s="8" t="s">
        <v>19</v>
      </c>
      <c r="D162" s="9">
        <v>1</v>
      </c>
      <c r="E162" s="9">
        <v>1</v>
      </c>
      <c r="F162" s="10" t="s">
        <v>9</v>
      </c>
      <c r="G162" s="11"/>
      <c r="H162" s="1" t="s">
        <v>55</v>
      </c>
      <c r="I162" s="1" t="str">
        <f t="shared" si="2"/>
        <v>X_Summary_Table$X_Labels[X_Summary_Table$X_Constraints=="X158"] &lt;- "X158: KABADOUGOU MILIEU 1 SEX 1 AGE 15_34"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5">
      <c r="A163" t="s">
        <v>215</v>
      </c>
      <c r="B163" s="7">
        <v>10510</v>
      </c>
      <c r="C163" s="8" t="s">
        <v>19</v>
      </c>
      <c r="D163" s="9">
        <v>1</v>
      </c>
      <c r="E163" s="9">
        <v>1</v>
      </c>
      <c r="F163" s="10" t="s">
        <v>10</v>
      </c>
      <c r="G163" s="11"/>
      <c r="H163" s="1" t="s">
        <v>55</v>
      </c>
      <c r="I163" s="1" t="str">
        <f t="shared" si="2"/>
        <v>X_Summary_Table$X_Labels[X_Summary_Table$X_Constraints=="X159"] &lt;- "X159: KABADOUGOU MILIEU 1 SEX 1 AGE 35_plus"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5">
      <c r="A164" t="s">
        <v>216</v>
      </c>
      <c r="B164" s="7">
        <v>10510</v>
      </c>
      <c r="C164" s="8" t="s">
        <v>19</v>
      </c>
      <c r="D164" s="12">
        <v>1</v>
      </c>
      <c r="E164" s="12">
        <v>2</v>
      </c>
      <c r="F164" s="13" t="s">
        <v>8</v>
      </c>
      <c r="G164" s="14"/>
      <c r="H164" s="1" t="s">
        <v>55</v>
      </c>
      <c r="I164" s="1" t="str">
        <f t="shared" si="2"/>
        <v>X_Summary_Table$X_Labels[X_Summary_Table$X_Constraints=="X160"] &lt;- "X160: KABADOUGOU MILIEU 2 SEX 1 AGE 0_14"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5">
      <c r="A165" t="s">
        <v>217</v>
      </c>
      <c r="B165" s="7">
        <v>10510</v>
      </c>
      <c r="C165" s="8" t="s">
        <v>19</v>
      </c>
      <c r="D165" s="12">
        <v>1</v>
      </c>
      <c r="E165" s="12">
        <v>2</v>
      </c>
      <c r="F165" s="13" t="s">
        <v>9</v>
      </c>
      <c r="G165" s="14"/>
      <c r="H165" s="1" t="s">
        <v>55</v>
      </c>
      <c r="I165" s="1" t="str">
        <f t="shared" si="2"/>
        <v>X_Summary_Table$X_Labels[X_Summary_Table$X_Constraints=="X161"] &lt;- "X161: KABADOUGOU MILIEU 2 SEX 1 AGE 15_34"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5">
      <c r="A166" t="s">
        <v>218</v>
      </c>
      <c r="B166" s="7">
        <v>10510</v>
      </c>
      <c r="C166" s="8" t="s">
        <v>19</v>
      </c>
      <c r="D166" s="12">
        <v>1</v>
      </c>
      <c r="E166" s="12">
        <v>2</v>
      </c>
      <c r="F166" s="13" t="s">
        <v>10</v>
      </c>
      <c r="G166" s="14"/>
      <c r="H166" s="1" t="s">
        <v>55</v>
      </c>
      <c r="I166" s="1" t="str">
        <f t="shared" si="2"/>
        <v>X_Summary_Table$X_Labels[X_Summary_Table$X_Constraints=="X162"] &lt;- "X162: KABADOUGOU MILIEU 2 SEX 1 AGE 35_plus"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5">
      <c r="A167" t="s">
        <v>219</v>
      </c>
      <c r="B167" s="7">
        <v>10510</v>
      </c>
      <c r="C167" s="8" t="s">
        <v>19</v>
      </c>
      <c r="D167" s="15">
        <v>2</v>
      </c>
      <c r="E167" s="15">
        <v>1</v>
      </c>
      <c r="F167" s="16" t="s">
        <v>8</v>
      </c>
      <c r="G167" s="17"/>
      <c r="H167" s="1" t="s">
        <v>55</v>
      </c>
      <c r="I167" s="1" t="str">
        <f t="shared" si="2"/>
        <v>X_Summary_Table$X_Labels[X_Summary_Table$X_Constraints=="X163"] &lt;- "X163: KABADOUGOU MILIEU 1 SEX 2 AGE 0_14"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5">
      <c r="A168" t="s">
        <v>220</v>
      </c>
      <c r="B168" s="7">
        <v>10510</v>
      </c>
      <c r="C168" s="8" t="s">
        <v>19</v>
      </c>
      <c r="D168" s="15">
        <v>2</v>
      </c>
      <c r="E168" s="15">
        <v>1</v>
      </c>
      <c r="F168" s="16" t="s">
        <v>9</v>
      </c>
      <c r="G168" s="17"/>
      <c r="H168" s="1" t="s">
        <v>55</v>
      </c>
      <c r="I168" s="1" t="str">
        <f t="shared" si="2"/>
        <v>X_Summary_Table$X_Labels[X_Summary_Table$X_Constraints=="X164"] &lt;- "X164: KABADOUGOU MILIEU 1 SEX 2 AGE 15_34"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5">
      <c r="A169" t="s">
        <v>221</v>
      </c>
      <c r="B169" s="7">
        <v>10510</v>
      </c>
      <c r="C169" s="8" t="s">
        <v>19</v>
      </c>
      <c r="D169" s="15">
        <v>2</v>
      </c>
      <c r="E169" s="15">
        <v>1</v>
      </c>
      <c r="F169" s="16" t="s">
        <v>10</v>
      </c>
      <c r="G169" s="17"/>
      <c r="H169" s="1" t="s">
        <v>55</v>
      </c>
      <c r="I169" s="1" t="str">
        <f t="shared" si="2"/>
        <v>X_Summary_Table$X_Labels[X_Summary_Table$X_Constraints=="X165"] &lt;- "X165: KABADOUGOU MILIEU 1 SEX 2 AGE 35_plus"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5">
      <c r="A170" t="s">
        <v>222</v>
      </c>
      <c r="B170" s="7">
        <v>10510</v>
      </c>
      <c r="C170" s="8" t="s">
        <v>19</v>
      </c>
      <c r="D170" s="18">
        <v>2</v>
      </c>
      <c r="E170" s="18">
        <v>2</v>
      </c>
      <c r="F170" s="19" t="s">
        <v>8</v>
      </c>
      <c r="G170" s="20"/>
      <c r="H170" s="1" t="s">
        <v>55</v>
      </c>
      <c r="I170" s="1" t="str">
        <f t="shared" si="2"/>
        <v>X_Summary_Table$X_Labels[X_Summary_Table$X_Constraints=="X166"] &lt;- "X166: KABADOUGOU MILIEU 2 SEX 2 AGE 0_14"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5">
      <c r="A171" t="s">
        <v>223</v>
      </c>
      <c r="B171" s="7">
        <v>10510</v>
      </c>
      <c r="C171" s="8" t="s">
        <v>19</v>
      </c>
      <c r="D171" s="18">
        <v>2</v>
      </c>
      <c r="E171" s="18">
        <v>2</v>
      </c>
      <c r="F171" s="19" t="s">
        <v>9</v>
      </c>
      <c r="G171" s="20"/>
      <c r="H171" s="1" t="s">
        <v>55</v>
      </c>
      <c r="I171" s="1" t="str">
        <f t="shared" si="2"/>
        <v>X_Summary_Table$X_Labels[X_Summary_Table$X_Constraints=="X167"] &lt;- "X167: KABADOUGOU MILIEU 2 SEX 2 AGE 15_34"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5">
      <c r="A172" t="s">
        <v>224</v>
      </c>
      <c r="B172" s="7">
        <v>10510</v>
      </c>
      <c r="C172" s="8" t="s">
        <v>19</v>
      </c>
      <c r="D172" s="18">
        <v>2</v>
      </c>
      <c r="E172" s="18">
        <v>2</v>
      </c>
      <c r="F172" s="19" t="s">
        <v>10</v>
      </c>
      <c r="G172" s="20"/>
      <c r="H172" s="1" t="s">
        <v>55</v>
      </c>
      <c r="I172" s="1" t="str">
        <f t="shared" si="2"/>
        <v>X_Summary_Table$X_Labels[X_Summary_Table$X_Constraints=="X168"] &lt;- "X168: KABADOUGOU MILIEU 2 SEX 2 AGE 35_plus"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5">
      <c r="A173" t="s">
        <v>225</v>
      </c>
      <c r="B173" s="7">
        <v>10811</v>
      </c>
      <c r="C173" s="8" t="s">
        <v>20</v>
      </c>
      <c r="D173" s="9">
        <v>1</v>
      </c>
      <c r="E173" s="9">
        <v>1</v>
      </c>
      <c r="F173" s="10" t="s">
        <v>8</v>
      </c>
      <c r="G173" s="11"/>
      <c r="H173" s="1" t="s">
        <v>55</v>
      </c>
      <c r="I173" s="1" t="str">
        <f t="shared" si="2"/>
        <v>X_Summary_Table$X_Labels[X_Summary_Table$X_Constraints=="X169"] &lt;- "X169: N'ZI MILIEU 1 SEX 1 AGE 0_14"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5">
      <c r="A174" t="s">
        <v>226</v>
      </c>
      <c r="B174" s="7">
        <v>10811</v>
      </c>
      <c r="C174" s="8" t="s">
        <v>20</v>
      </c>
      <c r="D174" s="9">
        <v>1</v>
      </c>
      <c r="E174" s="9">
        <v>1</v>
      </c>
      <c r="F174" s="10" t="s">
        <v>9</v>
      </c>
      <c r="G174" s="11"/>
      <c r="H174" s="1" t="s">
        <v>55</v>
      </c>
      <c r="I174" s="1" t="str">
        <f t="shared" si="2"/>
        <v>X_Summary_Table$X_Labels[X_Summary_Table$X_Constraints=="X170"] &lt;- "X170: N'ZI MILIEU 1 SEX 1 AGE 15_34"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5">
      <c r="A175" t="s">
        <v>227</v>
      </c>
      <c r="B175" s="7">
        <v>10811</v>
      </c>
      <c r="C175" s="8" t="s">
        <v>20</v>
      </c>
      <c r="D175" s="9">
        <v>1</v>
      </c>
      <c r="E175" s="9">
        <v>1</v>
      </c>
      <c r="F175" s="10" t="s">
        <v>10</v>
      </c>
      <c r="G175" s="11"/>
      <c r="H175" s="1" t="s">
        <v>55</v>
      </c>
      <c r="I175" s="1" t="str">
        <f t="shared" si="2"/>
        <v>X_Summary_Table$X_Labels[X_Summary_Table$X_Constraints=="X171"] &lt;- "X171: N'ZI MILIEU 1 SEX 1 AGE 35_plus"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5">
      <c r="A176" t="s">
        <v>228</v>
      </c>
      <c r="B176" s="7">
        <v>10811</v>
      </c>
      <c r="C176" s="8" t="s">
        <v>20</v>
      </c>
      <c r="D176" s="12">
        <v>1</v>
      </c>
      <c r="E176" s="12">
        <v>2</v>
      </c>
      <c r="F176" s="13" t="s">
        <v>8</v>
      </c>
      <c r="G176" s="14"/>
      <c r="H176" s="1" t="s">
        <v>55</v>
      </c>
      <c r="I176" s="1" t="str">
        <f t="shared" si="2"/>
        <v>X_Summary_Table$X_Labels[X_Summary_Table$X_Constraints=="X172"] &lt;- "X172: N'ZI MILIEU 2 SEX 1 AGE 0_14"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5">
      <c r="A177" t="s">
        <v>229</v>
      </c>
      <c r="B177" s="7">
        <v>10811</v>
      </c>
      <c r="C177" s="8" t="s">
        <v>20</v>
      </c>
      <c r="D177" s="12">
        <v>1</v>
      </c>
      <c r="E177" s="12">
        <v>2</v>
      </c>
      <c r="F177" s="13" t="s">
        <v>9</v>
      </c>
      <c r="G177" s="14"/>
      <c r="H177" s="1" t="s">
        <v>55</v>
      </c>
      <c r="I177" s="1" t="str">
        <f t="shared" si="2"/>
        <v>X_Summary_Table$X_Labels[X_Summary_Table$X_Constraints=="X173"] &lt;- "X173: N'ZI MILIEU 2 SEX 1 AGE 15_34"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5">
      <c r="A178" t="s">
        <v>230</v>
      </c>
      <c r="B178" s="7">
        <v>10811</v>
      </c>
      <c r="C178" s="8" t="s">
        <v>20</v>
      </c>
      <c r="D178" s="12">
        <v>1</v>
      </c>
      <c r="E178" s="12">
        <v>2</v>
      </c>
      <c r="F178" s="13" t="s">
        <v>10</v>
      </c>
      <c r="G178" s="14"/>
      <c r="H178" s="1" t="s">
        <v>55</v>
      </c>
      <c r="I178" s="1" t="str">
        <f t="shared" si="2"/>
        <v>X_Summary_Table$X_Labels[X_Summary_Table$X_Constraints=="X174"] &lt;- "X174: N'ZI MILIEU 2 SEX 1 AGE 35_plus"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5">
      <c r="A179" t="s">
        <v>231</v>
      </c>
      <c r="B179" s="7">
        <v>10811</v>
      </c>
      <c r="C179" s="8" t="s">
        <v>20</v>
      </c>
      <c r="D179" s="15">
        <v>2</v>
      </c>
      <c r="E179" s="15">
        <v>1</v>
      </c>
      <c r="F179" s="16" t="s">
        <v>8</v>
      </c>
      <c r="G179" s="17"/>
      <c r="H179" s="1" t="s">
        <v>55</v>
      </c>
      <c r="I179" s="1" t="str">
        <f t="shared" si="2"/>
        <v>X_Summary_Table$X_Labels[X_Summary_Table$X_Constraints=="X175"] &lt;- "X175: N'ZI MILIEU 1 SEX 2 AGE 0_14"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5">
      <c r="A180" t="s">
        <v>232</v>
      </c>
      <c r="B180" s="7">
        <v>10811</v>
      </c>
      <c r="C180" s="8" t="s">
        <v>20</v>
      </c>
      <c r="D180" s="15">
        <v>2</v>
      </c>
      <c r="E180" s="15">
        <v>1</v>
      </c>
      <c r="F180" s="16" t="s">
        <v>9</v>
      </c>
      <c r="G180" s="17"/>
      <c r="H180" s="1" t="s">
        <v>55</v>
      </c>
      <c r="I180" s="1" t="str">
        <f t="shared" si="2"/>
        <v>X_Summary_Table$X_Labels[X_Summary_Table$X_Constraints=="X176"] &lt;- "X176: N'ZI MILIEU 1 SEX 2 AGE 15_34"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5">
      <c r="A181" t="s">
        <v>233</v>
      </c>
      <c r="B181" s="7">
        <v>10811</v>
      </c>
      <c r="C181" s="8" t="s">
        <v>20</v>
      </c>
      <c r="D181" s="15">
        <v>2</v>
      </c>
      <c r="E181" s="15">
        <v>1</v>
      </c>
      <c r="F181" s="16" t="s">
        <v>10</v>
      </c>
      <c r="G181" s="17"/>
      <c r="H181" s="1" t="s">
        <v>55</v>
      </c>
      <c r="I181" s="1" t="str">
        <f t="shared" si="2"/>
        <v>X_Summary_Table$X_Labels[X_Summary_Table$X_Constraints=="X177"] &lt;- "X177: N'ZI MILIEU 1 SEX 2 AGE 35_plus"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5">
      <c r="A182" t="s">
        <v>234</v>
      </c>
      <c r="B182" s="7">
        <v>10811</v>
      </c>
      <c r="C182" s="8" t="s">
        <v>20</v>
      </c>
      <c r="D182" s="18">
        <v>2</v>
      </c>
      <c r="E182" s="18">
        <v>2</v>
      </c>
      <c r="F182" s="19" t="s">
        <v>8</v>
      </c>
      <c r="G182" s="20"/>
      <c r="H182" s="1" t="s">
        <v>55</v>
      </c>
      <c r="I182" s="1" t="str">
        <f t="shared" ref="I182:I245" si="3">"X_Summary_Table$X_Labels[X_Summary_Table$X_Constraints==" &amp; H182 &amp; A182 &amp; H182 &amp; "] &lt;- " &amp; H182 &amp; A182 &amp; ": " &amp; C182 &amp; " MILIEU " &amp; E182 &amp;" SEX " &amp; D182 &amp;" AGE "&amp; F182 &amp; H182</f>
        <v>X_Summary_Table$X_Labels[X_Summary_Table$X_Constraints=="X178"] &lt;- "X178: N'ZI MILIEU 2 SEX 2 AGE 0_14"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5">
      <c r="A183" t="s">
        <v>235</v>
      </c>
      <c r="B183" s="7">
        <v>10811</v>
      </c>
      <c r="C183" s="8" t="s">
        <v>20</v>
      </c>
      <c r="D183" s="18">
        <v>2</v>
      </c>
      <c r="E183" s="18">
        <v>2</v>
      </c>
      <c r="F183" s="19" t="s">
        <v>9</v>
      </c>
      <c r="G183" s="20"/>
      <c r="H183" s="1" t="s">
        <v>55</v>
      </c>
      <c r="I183" s="1" t="str">
        <f t="shared" si="3"/>
        <v>X_Summary_Table$X_Labels[X_Summary_Table$X_Constraints=="X179"] &lt;- "X179: N'ZI MILIEU 2 SEX 2 AGE 15_34"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5">
      <c r="A184" t="s">
        <v>236</v>
      </c>
      <c r="B184" s="7">
        <v>10811</v>
      </c>
      <c r="C184" s="8" t="s">
        <v>20</v>
      </c>
      <c r="D184" s="18">
        <v>2</v>
      </c>
      <c r="E184" s="18">
        <v>2</v>
      </c>
      <c r="F184" s="19" t="s">
        <v>10</v>
      </c>
      <c r="G184" s="20"/>
      <c r="H184" s="1" t="s">
        <v>55</v>
      </c>
      <c r="I184" s="1" t="str">
        <f t="shared" si="3"/>
        <v>X_Summary_Table$X_Labels[X_Summary_Table$X_Constraints=="X180"] &lt;- "X180: N'ZI MILIEU 2 SEX 2 AGE 35_plus"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5">
      <c r="A185" t="s">
        <v>237</v>
      </c>
      <c r="B185" s="7">
        <v>10712</v>
      </c>
      <c r="C185" s="8" t="s">
        <v>21</v>
      </c>
      <c r="D185" s="9">
        <v>1</v>
      </c>
      <c r="E185" s="9">
        <v>1</v>
      </c>
      <c r="F185" s="10" t="s">
        <v>8</v>
      </c>
      <c r="G185" s="11"/>
      <c r="H185" s="1" t="s">
        <v>55</v>
      </c>
      <c r="I185" s="1" t="str">
        <f t="shared" si="3"/>
        <v>X_Summary_Table$X_Labels[X_Summary_Table$X_Constraints=="X181"] &lt;- "X181: MARAHOUE MILIEU 1 SEX 1 AGE 0_14"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5">
      <c r="A186" t="s">
        <v>238</v>
      </c>
      <c r="B186" s="7">
        <v>10712</v>
      </c>
      <c r="C186" s="8" t="s">
        <v>21</v>
      </c>
      <c r="D186" s="9">
        <v>1</v>
      </c>
      <c r="E186" s="9">
        <v>1</v>
      </c>
      <c r="F186" s="10" t="s">
        <v>9</v>
      </c>
      <c r="G186" s="11"/>
      <c r="H186" s="1" t="s">
        <v>55</v>
      </c>
      <c r="I186" s="1" t="str">
        <f t="shared" si="3"/>
        <v>X_Summary_Table$X_Labels[X_Summary_Table$X_Constraints=="X182"] &lt;- "X182: MARAHOUE MILIEU 1 SEX 1 AGE 15_34"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5">
      <c r="A187" t="s">
        <v>239</v>
      </c>
      <c r="B187" s="7">
        <v>10712</v>
      </c>
      <c r="C187" s="8" t="s">
        <v>21</v>
      </c>
      <c r="D187" s="9">
        <v>1</v>
      </c>
      <c r="E187" s="9">
        <v>1</v>
      </c>
      <c r="F187" s="10" t="s">
        <v>10</v>
      </c>
      <c r="G187" s="11"/>
      <c r="H187" s="1" t="s">
        <v>55</v>
      </c>
      <c r="I187" s="1" t="str">
        <f t="shared" si="3"/>
        <v>X_Summary_Table$X_Labels[X_Summary_Table$X_Constraints=="X183"] &lt;- "X183: MARAHOUE MILIEU 1 SEX 1 AGE 35_plus"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5">
      <c r="A188" t="s">
        <v>240</v>
      </c>
      <c r="B188" s="7">
        <v>10712</v>
      </c>
      <c r="C188" s="8" t="s">
        <v>21</v>
      </c>
      <c r="D188" s="12">
        <v>1</v>
      </c>
      <c r="E188" s="12">
        <v>2</v>
      </c>
      <c r="F188" s="13" t="s">
        <v>8</v>
      </c>
      <c r="G188" s="14"/>
      <c r="H188" s="1" t="s">
        <v>55</v>
      </c>
      <c r="I188" s="1" t="str">
        <f t="shared" si="3"/>
        <v>X_Summary_Table$X_Labels[X_Summary_Table$X_Constraints=="X184"] &lt;- "X184: MARAHOUE MILIEU 2 SEX 1 AGE 0_14"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5">
      <c r="A189" t="s">
        <v>241</v>
      </c>
      <c r="B189" s="7">
        <v>10712</v>
      </c>
      <c r="C189" s="8" t="s">
        <v>21</v>
      </c>
      <c r="D189" s="12">
        <v>1</v>
      </c>
      <c r="E189" s="12">
        <v>2</v>
      </c>
      <c r="F189" s="13" t="s">
        <v>9</v>
      </c>
      <c r="G189" s="14"/>
      <c r="H189" s="1" t="s">
        <v>55</v>
      </c>
      <c r="I189" s="1" t="str">
        <f t="shared" si="3"/>
        <v>X_Summary_Table$X_Labels[X_Summary_Table$X_Constraints=="X185"] &lt;- "X185: MARAHOUE MILIEU 2 SEX 1 AGE 15_34"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5">
      <c r="A190" t="s">
        <v>242</v>
      </c>
      <c r="B190" s="7">
        <v>10712</v>
      </c>
      <c r="C190" s="8" t="s">
        <v>21</v>
      </c>
      <c r="D190" s="12">
        <v>1</v>
      </c>
      <c r="E190" s="12">
        <v>2</v>
      </c>
      <c r="F190" s="13" t="s">
        <v>10</v>
      </c>
      <c r="G190" s="14"/>
      <c r="H190" s="1" t="s">
        <v>55</v>
      </c>
      <c r="I190" s="1" t="str">
        <f t="shared" si="3"/>
        <v>X_Summary_Table$X_Labels[X_Summary_Table$X_Constraints=="X186"] &lt;- "X186: MARAHOUE MILIEU 2 SEX 1 AGE 35_plus"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5">
      <c r="A191" t="s">
        <v>243</v>
      </c>
      <c r="B191" s="7">
        <v>10712</v>
      </c>
      <c r="C191" s="8" t="s">
        <v>21</v>
      </c>
      <c r="D191" s="15">
        <v>2</v>
      </c>
      <c r="E191" s="15">
        <v>1</v>
      </c>
      <c r="F191" s="16" t="s">
        <v>8</v>
      </c>
      <c r="G191" s="17"/>
      <c r="H191" s="1" t="s">
        <v>55</v>
      </c>
      <c r="I191" s="1" t="str">
        <f t="shared" si="3"/>
        <v>X_Summary_Table$X_Labels[X_Summary_Table$X_Constraints=="X187"] &lt;- "X187: MARAHOUE MILIEU 1 SEX 2 AGE 0_14"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5">
      <c r="A192" t="s">
        <v>244</v>
      </c>
      <c r="B192" s="7">
        <v>10712</v>
      </c>
      <c r="C192" s="8" t="s">
        <v>21</v>
      </c>
      <c r="D192" s="15">
        <v>2</v>
      </c>
      <c r="E192" s="15">
        <v>1</v>
      </c>
      <c r="F192" s="16" t="s">
        <v>9</v>
      </c>
      <c r="G192" s="17"/>
      <c r="H192" s="1" t="s">
        <v>55</v>
      </c>
      <c r="I192" s="1" t="str">
        <f t="shared" si="3"/>
        <v>X_Summary_Table$X_Labels[X_Summary_Table$X_Constraints=="X188"] &lt;- "X188: MARAHOUE MILIEU 1 SEX 2 AGE 15_34"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5">
      <c r="A193" t="s">
        <v>245</v>
      </c>
      <c r="B193" s="7">
        <v>10712</v>
      </c>
      <c r="C193" s="8" t="s">
        <v>21</v>
      </c>
      <c r="D193" s="15">
        <v>2</v>
      </c>
      <c r="E193" s="15">
        <v>1</v>
      </c>
      <c r="F193" s="16" t="s">
        <v>10</v>
      </c>
      <c r="G193" s="17"/>
      <c r="H193" s="1" t="s">
        <v>55</v>
      </c>
      <c r="I193" s="1" t="str">
        <f t="shared" si="3"/>
        <v>X_Summary_Table$X_Labels[X_Summary_Table$X_Constraints=="X189"] &lt;- "X189: MARAHOUE MILIEU 1 SEX 2 AGE 35_plus"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5">
      <c r="A194" t="s">
        <v>246</v>
      </c>
      <c r="B194" s="7">
        <v>10712</v>
      </c>
      <c r="C194" s="8" t="s">
        <v>21</v>
      </c>
      <c r="D194" s="18">
        <v>2</v>
      </c>
      <c r="E194" s="18">
        <v>2</v>
      </c>
      <c r="F194" s="19" t="s">
        <v>8</v>
      </c>
      <c r="G194" s="20"/>
      <c r="H194" s="1" t="s">
        <v>55</v>
      </c>
      <c r="I194" s="1" t="str">
        <f t="shared" si="3"/>
        <v>X_Summary_Table$X_Labels[X_Summary_Table$X_Constraints=="X190"] &lt;- "X190: MARAHOUE MILIEU 2 SEX 2 AGE 0_14"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5">
      <c r="A195" t="s">
        <v>247</v>
      </c>
      <c r="B195" s="7">
        <v>10712</v>
      </c>
      <c r="C195" s="8" t="s">
        <v>21</v>
      </c>
      <c r="D195" s="18">
        <v>2</v>
      </c>
      <c r="E195" s="18">
        <v>2</v>
      </c>
      <c r="F195" s="19" t="s">
        <v>9</v>
      </c>
      <c r="G195" s="20"/>
      <c r="H195" s="1" t="s">
        <v>55</v>
      </c>
      <c r="I195" s="1" t="str">
        <f t="shared" si="3"/>
        <v>X_Summary_Table$X_Labels[X_Summary_Table$X_Constraints=="X191"] &lt;- "X191: MARAHOUE MILIEU 2 SEX 2 AGE 15_34"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5">
      <c r="A196" t="s">
        <v>248</v>
      </c>
      <c r="B196" s="7">
        <v>10712</v>
      </c>
      <c r="C196" s="8" t="s">
        <v>21</v>
      </c>
      <c r="D196" s="18">
        <v>2</v>
      </c>
      <c r="E196" s="18">
        <v>2</v>
      </c>
      <c r="F196" s="19" t="s">
        <v>10</v>
      </c>
      <c r="G196" s="20"/>
      <c r="H196" s="1" t="s">
        <v>55</v>
      </c>
      <c r="I196" s="1" t="str">
        <f t="shared" si="3"/>
        <v>X_Summary_Table$X_Labels[X_Summary_Table$X_Constraints=="X192"] &lt;- "X192: MARAHOUE MILIEU 2 SEX 2 AGE 35_plus"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5">
      <c r="A197" t="s">
        <v>249</v>
      </c>
      <c r="B197" s="7">
        <v>10413</v>
      </c>
      <c r="C197" s="8" t="s">
        <v>22</v>
      </c>
      <c r="D197" s="9">
        <v>1</v>
      </c>
      <c r="E197" s="9">
        <v>1</v>
      </c>
      <c r="F197" s="10" t="s">
        <v>8</v>
      </c>
      <c r="G197" s="11"/>
      <c r="H197" s="1" t="s">
        <v>55</v>
      </c>
      <c r="I197" s="1" t="str">
        <f t="shared" si="3"/>
        <v>X_Summary_Table$X_Labels[X_Summary_Table$X_Constraints=="X193"] &lt;- "X193: SUD-COMOE MILIEU 1 SEX 1 AGE 0_14"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5">
      <c r="A198" t="s">
        <v>250</v>
      </c>
      <c r="B198" s="7">
        <v>10413</v>
      </c>
      <c r="C198" s="8" t="s">
        <v>22</v>
      </c>
      <c r="D198" s="9">
        <v>1</v>
      </c>
      <c r="E198" s="9">
        <v>1</v>
      </c>
      <c r="F198" s="10" t="s">
        <v>9</v>
      </c>
      <c r="G198" s="11"/>
      <c r="H198" s="1" t="s">
        <v>55</v>
      </c>
      <c r="I198" s="1" t="str">
        <f t="shared" si="3"/>
        <v>X_Summary_Table$X_Labels[X_Summary_Table$X_Constraints=="X194"] &lt;- "X194: SUD-COMOE MILIEU 1 SEX 1 AGE 15_34"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5">
      <c r="A199" t="s">
        <v>251</v>
      </c>
      <c r="B199" s="7">
        <v>10413</v>
      </c>
      <c r="C199" s="8" t="s">
        <v>22</v>
      </c>
      <c r="D199" s="9">
        <v>1</v>
      </c>
      <c r="E199" s="9">
        <v>1</v>
      </c>
      <c r="F199" s="10" t="s">
        <v>10</v>
      </c>
      <c r="G199" s="11"/>
      <c r="H199" s="1" t="s">
        <v>55</v>
      </c>
      <c r="I199" s="1" t="str">
        <f t="shared" si="3"/>
        <v>X_Summary_Table$X_Labels[X_Summary_Table$X_Constraints=="X195"] &lt;- "X195: SUD-COMOE MILIEU 1 SEX 1 AGE 35_plus"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5">
      <c r="A200" t="s">
        <v>252</v>
      </c>
      <c r="B200" s="7">
        <v>10413</v>
      </c>
      <c r="C200" s="8" t="s">
        <v>22</v>
      </c>
      <c r="D200" s="12">
        <v>1</v>
      </c>
      <c r="E200" s="12">
        <v>2</v>
      </c>
      <c r="F200" s="13" t="s">
        <v>8</v>
      </c>
      <c r="G200" s="14"/>
      <c r="H200" s="1" t="s">
        <v>55</v>
      </c>
      <c r="I200" s="1" t="str">
        <f t="shared" si="3"/>
        <v>X_Summary_Table$X_Labels[X_Summary_Table$X_Constraints=="X196"] &lt;- "X196: SUD-COMOE MILIEU 2 SEX 1 AGE 0_14"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5">
      <c r="A201" t="s">
        <v>253</v>
      </c>
      <c r="B201" s="7">
        <v>10413</v>
      </c>
      <c r="C201" s="8" t="s">
        <v>22</v>
      </c>
      <c r="D201" s="12">
        <v>1</v>
      </c>
      <c r="E201" s="12">
        <v>2</v>
      </c>
      <c r="F201" s="13" t="s">
        <v>9</v>
      </c>
      <c r="G201" s="14"/>
      <c r="H201" s="1" t="s">
        <v>55</v>
      </c>
      <c r="I201" s="1" t="str">
        <f t="shared" si="3"/>
        <v>X_Summary_Table$X_Labels[X_Summary_Table$X_Constraints=="X197"] &lt;- "X197: SUD-COMOE MILIEU 2 SEX 1 AGE 15_34"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5">
      <c r="A202" t="s">
        <v>254</v>
      </c>
      <c r="B202" s="7">
        <v>10413</v>
      </c>
      <c r="C202" s="8" t="s">
        <v>22</v>
      </c>
      <c r="D202" s="12">
        <v>1</v>
      </c>
      <c r="E202" s="12">
        <v>2</v>
      </c>
      <c r="F202" s="13" t="s">
        <v>10</v>
      </c>
      <c r="G202" s="14"/>
      <c r="H202" s="1" t="s">
        <v>55</v>
      </c>
      <c r="I202" s="1" t="str">
        <f t="shared" si="3"/>
        <v>X_Summary_Table$X_Labels[X_Summary_Table$X_Constraints=="X198"] &lt;- "X198: SUD-COMOE MILIEU 2 SEX 1 AGE 35_plus"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5">
      <c r="A203" t="s">
        <v>255</v>
      </c>
      <c r="B203" s="7">
        <v>10413</v>
      </c>
      <c r="C203" s="8" t="s">
        <v>22</v>
      </c>
      <c r="D203" s="15">
        <v>2</v>
      </c>
      <c r="E203" s="15">
        <v>1</v>
      </c>
      <c r="F203" s="16" t="s">
        <v>8</v>
      </c>
      <c r="G203" s="17"/>
      <c r="H203" s="1" t="s">
        <v>55</v>
      </c>
      <c r="I203" s="1" t="str">
        <f t="shared" si="3"/>
        <v>X_Summary_Table$X_Labels[X_Summary_Table$X_Constraints=="X199"] &lt;- "X199: SUD-COMOE MILIEU 1 SEX 2 AGE 0_14"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5">
      <c r="A204" t="s">
        <v>256</v>
      </c>
      <c r="B204" s="7">
        <v>10413</v>
      </c>
      <c r="C204" s="8" t="s">
        <v>22</v>
      </c>
      <c r="D204" s="15">
        <v>2</v>
      </c>
      <c r="E204" s="15">
        <v>1</v>
      </c>
      <c r="F204" s="16" t="s">
        <v>9</v>
      </c>
      <c r="G204" s="17"/>
      <c r="H204" s="1" t="s">
        <v>55</v>
      </c>
      <c r="I204" s="1" t="str">
        <f t="shared" si="3"/>
        <v>X_Summary_Table$X_Labels[X_Summary_Table$X_Constraints=="X200"] &lt;- "X200: SUD-COMOE MILIEU 1 SEX 2 AGE 15_34"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5">
      <c r="A205" t="s">
        <v>257</v>
      </c>
      <c r="B205" s="7">
        <v>10413</v>
      </c>
      <c r="C205" s="8" t="s">
        <v>22</v>
      </c>
      <c r="D205" s="15">
        <v>2</v>
      </c>
      <c r="E205" s="15">
        <v>1</v>
      </c>
      <c r="F205" s="16" t="s">
        <v>10</v>
      </c>
      <c r="G205" s="17"/>
      <c r="H205" s="1" t="s">
        <v>55</v>
      </c>
      <c r="I205" s="1" t="str">
        <f t="shared" si="3"/>
        <v>X_Summary_Table$X_Labels[X_Summary_Table$X_Constraints=="X201"] &lt;- "X201: SUD-COMOE MILIEU 1 SEX 2 AGE 35_plus"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5">
      <c r="A206" t="s">
        <v>258</v>
      </c>
      <c r="B206" s="7">
        <v>10413</v>
      </c>
      <c r="C206" s="8" t="s">
        <v>22</v>
      </c>
      <c r="D206" s="18">
        <v>2</v>
      </c>
      <c r="E206" s="18">
        <v>2</v>
      </c>
      <c r="F206" s="19" t="s">
        <v>8</v>
      </c>
      <c r="G206" s="20"/>
      <c r="H206" s="1" t="s">
        <v>55</v>
      </c>
      <c r="I206" s="1" t="str">
        <f t="shared" si="3"/>
        <v>X_Summary_Table$X_Labels[X_Summary_Table$X_Constraints=="X202"] &lt;- "X202: SUD-COMOE MILIEU 2 SEX 2 AGE 0_14"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5">
      <c r="A207" t="s">
        <v>259</v>
      </c>
      <c r="B207" s="7">
        <v>10413</v>
      </c>
      <c r="C207" s="8" t="s">
        <v>22</v>
      </c>
      <c r="D207" s="18">
        <v>2</v>
      </c>
      <c r="E207" s="18">
        <v>2</v>
      </c>
      <c r="F207" s="19" t="s">
        <v>9</v>
      </c>
      <c r="G207" s="20"/>
      <c r="H207" s="1" t="s">
        <v>55</v>
      </c>
      <c r="I207" s="1" t="str">
        <f t="shared" si="3"/>
        <v>X_Summary_Table$X_Labels[X_Summary_Table$X_Constraints=="X203"] &lt;- "X203: SUD-COMOE MILIEU 2 SEX 2 AGE 15_34"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5">
      <c r="A208" t="s">
        <v>260</v>
      </c>
      <c r="B208" s="7">
        <v>10413</v>
      </c>
      <c r="C208" s="8" t="s">
        <v>22</v>
      </c>
      <c r="D208" s="18">
        <v>2</v>
      </c>
      <c r="E208" s="18">
        <v>2</v>
      </c>
      <c r="F208" s="19" t="s">
        <v>10</v>
      </c>
      <c r="G208" s="20"/>
      <c r="H208" s="1" t="s">
        <v>55</v>
      </c>
      <c r="I208" s="1" t="str">
        <f t="shared" si="3"/>
        <v>X_Summary_Table$X_Labels[X_Summary_Table$X_Constraints=="X204"] &lt;- "X204: SUD-COMOE MILIEU 2 SEX 2 AGE 35_plus"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5">
      <c r="A209" t="s">
        <v>261</v>
      </c>
      <c r="B209" s="7">
        <v>11314</v>
      </c>
      <c r="C209" s="8" t="s">
        <v>23</v>
      </c>
      <c r="D209" s="9">
        <v>1</v>
      </c>
      <c r="E209" s="9">
        <v>1</v>
      </c>
      <c r="F209" s="10" t="s">
        <v>8</v>
      </c>
      <c r="G209" s="11"/>
      <c r="H209" s="1" t="s">
        <v>55</v>
      </c>
      <c r="I209" s="1" t="str">
        <f t="shared" si="3"/>
        <v>X_Summary_Table$X_Labels[X_Summary_Table$X_Constraints=="X205"] &lt;- "X205: WORODOUGOU MILIEU 1 SEX 1 AGE 0_14"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5">
      <c r="A210" t="s">
        <v>262</v>
      </c>
      <c r="B210" s="7">
        <v>11314</v>
      </c>
      <c r="C210" s="8" t="s">
        <v>23</v>
      </c>
      <c r="D210" s="9">
        <v>1</v>
      </c>
      <c r="E210" s="9">
        <v>1</v>
      </c>
      <c r="F210" s="10" t="s">
        <v>9</v>
      </c>
      <c r="G210" s="11"/>
      <c r="H210" s="1" t="s">
        <v>55</v>
      </c>
      <c r="I210" s="1" t="str">
        <f t="shared" si="3"/>
        <v>X_Summary_Table$X_Labels[X_Summary_Table$X_Constraints=="X206"] &lt;- "X206: WORODOUGOU MILIEU 1 SEX 1 AGE 15_34"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5">
      <c r="A211" t="s">
        <v>263</v>
      </c>
      <c r="B211" s="7">
        <v>11314</v>
      </c>
      <c r="C211" s="8" t="s">
        <v>23</v>
      </c>
      <c r="D211" s="9">
        <v>1</v>
      </c>
      <c r="E211" s="9">
        <v>1</v>
      </c>
      <c r="F211" s="10" t="s">
        <v>10</v>
      </c>
      <c r="G211" s="11"/>
      <c r="H211" s="1" t="s">
        <v>55</v>
      </c>
      <c r="I211" s="1" t="str">
        <f t="shared" si="3"/>
        <v>X_Summary_Table$X_Labels[X_Summary_Table$X_Constraints=="X207"] &lt;- "X207: WORODOUGOU MILIEU 1 SEX 1 AGE 35_plus"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5">
      <c r="A212" t="s">
        <v>264</v>
      </c>
      <c r="B212" s="7">
        <v>11314</v>
      </c>
      <c r="C212" s="8" t="s">
        <v>23</v>
      </c>
      <c r="D212" s="12">
        <v>1</v>
      </c>
      <c r="E212" s="12">
        <v>2</v>
      </c>
      <c r="F212" s="13" t="s">
        <v>8</v>
      </c>
      <c r="G212" s="14"/>
      <c r="H212" s="1" t="s">
        <v>55</v>
      </c>
      <c r="I212" s="1" t="str">
        <f t="shared" si="3"/>
        <v>X_Summary_Table$X_Labels[X_Summary_Table$X_Constraints=="X208"] &lt;- "X208: WORODOUGOU MILIEU 2 SEX 1 AGE 0_14"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5">
      <c r="A213" t="s">
        <v>265</v>
      </c>
      <c r="B213" s="7">
        <v>11314</v>
      </c>
      <c r="C213" s="8" t="s">
        <v>23</v>
      </c>
      <c r="D213" s="12">
        <v>1</v>
      </c>
      <c r="E213" s="12">
        <v>2</v>
      </c>
      <c r="F213" s="13" t="s">
        <v>9</v>
      </c>
      <c r="G213" s="14"/>
      <c r="H213" s="1" t="s">
        <v>55</v>
      </c>
      <c r="I213" s="1" t="str">
        <f t="shared" si="3"/>
        <v>X_Summary_Table$X_Labels[X_Summary_Table$X_Constraints=="X209"] &lt;- "X209: WORODOUGOU MILIEU 2 SEX 1 AGE 15_34"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5">
      <c r="A214" t="s">
        <v>266</v>
      </c>
      <c r="B214" s="7">
        <v>11314</v>
      </c>
      <c r="C214" s="8" t="s">
        <v>23</v>
      </c>
      <c r="D214" s="12">
        <v>1</v>
      </c>
      <c r="E214" s="12">
        <v>2</v>
      </c>
      <c r="F214" s="13" t="s">
        <v>10</v>
      </c>
      <c r="G214" s="14"/>
      <c r="H214" s="1" t="s">
        <v>55</v>
      </c>
      <c r="I214" s="1" t="str">
        <f t="shared" si="3"/>
        <v>X_Summary_Table$X_Labels[X_Summary_Table$X_Constraints=="X210"] &lt;- "X210: WORODOUGOU MILIEU 2 SEX 1 AGE 35_plus"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5">
      <c r="A215" t="s">
        <v>267</v>
      </c>
      <c r="B215" s="7">
        <v>11314</v>
      </c>
      <c r="C215" s="8" t="s">
        <v>23</v>
      </c>
      <c r="D215" s="15">
        <v>2</v>
      </c>
      <c r="E215" s="15">
        <v>1</v>
      </c>
      <c r="F215" s="16" t="s">
        <v>8</v>
      </c>
      <c r="G215" s="17"/>
      <c r="H215" s="1" t="s">
        <v>55</v>
      </c>
      <c r="I215" s="1" t="str">
        <f t="shared" si="3"/>
        <v>X_Summary_Table$X_Labels[X_Summary_Table$X_Constraints=="X211"] &lt;- "X211: WORODOUGOU MILIEU 1 SEX 2 AGE 0_14"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5">
      <c r="A216" t="s">
        <v>268</v>
      </c>
      <c r="B216" s="7">
        <v>11314</v>
      </c>
      <c r="C216" s="8" t="s">
        <v>23</v>
      </c>
      <c r="D216" s="15">
        <v>2</v>
      </c>
      <c r="E216" s="15">
        <v>1</v>
      </c>
      <c r="F216" s="16" t="s">
        <v>9</v>
      </c>
      <c r="G216" s="17"/>
      <c r="H216" s="1" t="s">
        <v>55</v>
      </c>
      <c r="I216" s="1" t="str">
        <f t="shared" si="3"/>
        <v>X_Summary_Table$X_Labels[X_Summary_Table$X_Constraints=="X212"] &lt;- "X212: WORODOUGOU MILIEU 1 SEX 2 AGE 15_34"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5">
      <c r="A217" t="s">
        <v>269</v>
      </c>
      <c r="B217" s="7">
        <v>11314</v>
      </c>
      <c r="C217" s="8" t="s">
        <v>23</v>
      </c>
      <c r="D217" s="15">
        <v>2</v>
      </c>
      <c r="E217" s="15">
        <v>1</v>
      </c>
      <c r="F217" s="16" t="s">
        <v>10</v>
      </c>
      <c r="G217" s="17"/>
      <c r="H217" s="1" t="s">
        <v>55</v>
      </c>
      <c r="I217" s="1" t="str">
        <f t="shared" si="3"/>
        <v>X_Summary_Table$X_Labels[X_Summary_Table$X_Constraints=="X213"] &lt;- "X213: WORODOUGOU MILIEU 1 SEX 2 AGE 35_plus"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5">
      <c r="A218" t="s">
        <v>270</v>
      </c>
      <c r="B218" s="7">
        <v>11314</v>
      </c>
      <c r="C218" s="8" t="s">
        <v>23</v>
      </c>
      <c r="D218" s="18">
        <v>2</v>
      </c>
      <c r="E218" s="18">
        <v>2</v>
      </c>
      <c r="F218" s="19" t="s">
        <v>8</v>
      </c>
      <c r="G218" s="20"/>
      <c r="H218" s="1" t="s">
        <v>55</v>
      </c>
      <c r="I218" s="1" t="str">
        <f t="shared" si="3"/>
        <v>X_Summary_Table$X_Labels[X_Summary_Table$X_Constraints=="X214"] &lt;- "X214: WORODOUGOU MILIEU 2 SEX 2 AGE 0_14"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5">
      <c r="A219" t="s">
        <v>271</v>
      </c>
      <c r="B219" s="7">
        <v>11314</v>
      </c>
      <c r="C219" s="8" t="s">
        <v>23</v>
      </c>
      <c r="D219" s="18">
        <v>2</v>
      </c>
      <c r="E219" s="18">
        <v>2</v>
      </c>
      <c r="F219" s="19" t="s">
        <v>9</v>
      </c>
      <c r="G219" s="20"/>
      <c r="H219" s="1" t="s">
        <v>55</v>
      </c>
      <c r="I219" s="1" t="str">
        <f t="shared" si="3"/>
        <v>X_Summary_Table$X_Labels[X_Summary_Table$X_Constraints=="X215"] &lt;- "X215: WORODOUGOU MILIEU 2 SEX 2 AGE 15_34"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5">
      <c r="A220" t="s">
        <v>272</v>
      </c>
      <c r="B220" s="7">
        <v>11314</v>
      </c>
      <c r="C220" s="8" t="s">
        <v>23</v>
      </c>
      <c r="D220" s="18">
        <v>2</v>
      </c>
      <c r="E220" s="18">
        <v>2</v>
      </c>
      <c r="F220" s="19" t="s">
        <v>10</v>
      </c>
      <c r="G220" s="20"/>
      <c r="H220" s="1" t="s">
        <v>55</v>
      </c>
      <c r="I220" s="1" t="str">
        <f t="shared" si="3"/>
        <v>X_Summary_Table$X_Labels[X_Summary_Table$X_Constraints=="X216"] &lt;- "X216: WORODOUGOU MILIEU 2 SEX 2 AGE 35_plus"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5">
      <c r="A221" t="s">
        <v>273</v>
      </c>
      <c r="B221" s="7">
        <v>10615</v>
      </c>
      <c r="C221" s="8" t="s">
        <v>24</v>
      </c>
      <c r="D221" s="9">
        <v>1</v>
      </c>
      <c r="E221" s="9">
        <v>1</v>
      </c>
      <c r="F221" s="10" t="s">
        <v>8</v>
      </c>
      <c r="G221" s="11"/>
      <c r="H221" s="1" t="s">
        <v>55</v>
      </c>
      <c r="I221" s="1" t="str">
        <f t="shared" si="3"/>
        <v>X_Summary_Table$X_Labels[X_Summary_Table$X_Constraints=="X217"] &lt;- "X217: LÔH-DJIBOUA MILIEU 1 SEX 1 AGE 0_14"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5">
      <c r="A222" t="s">
        <v>274</v>
      </c>
      <c r="B222" s="7">
        <v>10615</v>
      </c>
      <c r="C222" s="8" t="s">
        <v>24</v>
      </c>
      <c r="D222" s="9">
        <v>1</v>
      </c>
      <c r="E222" s="9">
        <v>1</v>
      </c>
      <c r="F222" s="10" t="s">
        <v>9</v>
      </c>
      <c r="G222" s="11"/>
      <c r="H222" s="1" t="s">
        <v>55</v>
      </c>
      <c r="I222" s="1" t="str">
        <f t="shared" si="3"/>
        <v>X_Summary_Table$X_Labels[X_Summary_Table$X_Constraints=="X218"] &lt;- "X218: LÔH-DJIBOUA MILIEU 1 SEX 1 AGE 15_34"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5">
      <c r="A223" t="s">
        <v>275</v>
      </c>
      <c r="B223" s="7">
        <v>10615</v>
      </c>
      <c r="C223" s="8" t="s">
        <v>24</v>
      </c>
      <c r="D223" s="9">
        <v>1</v>
      </c>
      <c r="E223" s="9">
        <v>1</v>
      </c>
      <c r="F223" s="10" t="s">
        <v>10</v>
      </c>
      <c r="G223" s="11"/>
      <c r="H223" s="1" t="s">
        <v>55</v>
      </c>
      <c r="I223" s="1" t="str">
        <f t="shared" si="3"/>
        <v>X_Summary_Table$X_Labels[X_Summary_Table$X_Constraints=="X219"] &lt;- "X219: LÔH-DJIBOUA MILIEU 1 SEX 1 AGE 35_plus"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5">
      <c r="A224" t="s">
        <v>276</v>
      </c>
      <c r="B224" s="7">
        <v>10615</v>
      </c>
      <c r="C224" s="8" t="s">
        <v>24</v>
      </c>
      <c r="D224" s="12">
        <v>1</v>
      </c>
      <c r="E224" s="12">
        <v>2</v>
      </c>
      <c r="F224" s="13" t="s">
        <v>8</v>
      </c>
      <c r="G224" s="14"/>
      <c r="H224" s="1" t="s">
        <v>55</v>
      </c>
      <c r="I224" s="1" t="str">
        <f t="shared" si="3"/>
        <v>X_Summary_Table$X_Labels[X_Summary_Table$X_Constraints=="X220"] &lt;- "X220: LÔH-DJIBOUA MILIEU 2 SEX 1 AGE 0_14"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5">
      <c r="A225" t="s">
        <v>277</v>
      </c>
      <c r="B225" s="7">
        <v>10615</v>
      </c>
      <c r="C225" s="8" t="s">
        <v>24</v>
      </c>
      <c r="D225" s="12">
        <v>1</v>
      </c>
      <c r="E225" s="12">
        <v>2</v>
      </c>
      <c r="F225" s="13" t="s">
        <v>9</v>
      </c>
      <c r="G225" s="14"/>
      <c r="H225" s="1" t="s">
        <v>55</v>
      </c>
      <c r="I225" s="1" t="str">
        <f t="shared" si="3"/>
        <v>X_Summary_Table$X_Labels[X_Summary_Table$X_Constraints=="X221"] &lt;- "X221: LÔH-DJIBOUA MILIEU 2 SEX 1 AGE 15_34"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5">
      <c r="A226" t="s">
        <v>278</v>
      </c>
      <c r="B226" s="7">
        <v>10615</v>
      </c>
      <c r="C226" s="8" t="s">
        <v>24</v>
      </c>
      <c r="D226" s="12">
        <v>1</v>
      </c>
      <c r="E226" s="12">
        <v>2</v>
      </c>
      <c r="F226" s="13" t="s">
        <v>10</v>
      </c>
      <c r="G226" s="14"/>
      <c r="H226" s="1" t="s">
        <v>55</v>
      </c>
      <c r="I226" s="1" t="str">
        <f t="shared" si="3"/>
        <v>X_Summary_Table$X_Labels[X_Summary_Table$X_Constraints=="X222"] &lt;- "X222: LÔH-DJIBOUA MILIEU 2 SEX 1 AGE 35_plus"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5">
      <c r="A227" t="s">
        <v>279</v>
      </c>
      <c r="B227" s="7">
        <v>10615</v>
      </c>
      <c r="C227" s="8" t="s">
        <v>24</v>
      </c>
      <c r="D227" s="15">
        <v>2</v>
      </c>
      <c r="E227" s="15">
        <v>1</v>
      </c>
      <c r="F227" s="16" t="s">
        <v>8</v>
      </c>
      <c r="G227" s="17"/>
      <c r="H227" s="1" t="s">
        <v>55</v>
      </c>
      <c r="I227" s="1" t="str">
        <f t="shared" si="3"/>
        <v>X_Summary_Table$X_Labels[X_Summary_Table$X_Constraints=="X223"] &lt;- "X223: LÔH-DJIBOUA MILIEU 1 SEX 2 AGE 0_14"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5">
      <c r="A228" t="s">
        <v>280</v>
      </c>
      <c r="B228" s="7">
        <v>10615</v>
      </c>
      <c r="C228" s="8" t="s">
        <v>24</v>
      </c>
      <c r="D228" s="15">
        <v>2</v>
      </c>
      <c r="E228" s="15">
        <v>1</v>
      </c>
      <c r="F228" s="16" t="s">
        <v>9</v>
      </c>
      <c r="G228" s="17"/>
      <c r="H228" s="1" t="s">
        <v>55</v>
      </c>
      <c r="I228" s="1" t="str">
        <f t="shared" si="3"/>
        <v>X_Summary_Table$X_Labels[X_Summary_Table$X_Constraints=="X224"] &lt;- "X224: LÔH-DJIBOUA MILIEU 1 SEX 2 AGE 15_34"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5">
      <c r="A229" t="s">
        <v>281</v>
      </c>
      <c r="B229" s="7">
        <v>10615</v>
      </c>
      <c r="C229" s="8" t="s">
        <v>24</v>
      </c>
      <c r="D229" s="15">
        <v>2</v>
      </c>
      <c r="E229" s="15">
        <v>1</v>
      </c>
      <c r="F229" s="16" t="s">
        <v>10</v>
      </c>
      <c r="G229" s="17"/>
      <c r="H229" s="1" t="s">
        <v>55</v>
      </c>
      <c r="I229" s="1" t="str">
        <f t="shared" si="3"/>
        <v>X_Summary_Table$X_Labels[X_Summary_Table$X_Constraints=="X225"] &lt;- "X225: LÔH-DJIBOUA MILIEU 1 SEX 2 AGE 35_plus"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5">
      <c r="A230" t="s">
        <v>282</v>
      </c>
      <c r="B230" s="7">
        <v>10615</v>
      </c>
      <c r="C230" s="8" t="s">
        <v>24</v>
      </c>
      <c r="D230" s="18">
        <v>2</v>
      </c>
      <c r="E230" s="18">
        <v>2</v>
      </c>
      <c r="F230" s="19" t="s">
        <v>8</v>
      </c>
      <c r="G230" s="20"/>
      <c r="H230" s="1" t="s">
        <v>55</v>
      </c>
      <c r="I230" s="1" t="str">
        <f t="shared" si="3"/>
        <v>X_Summary_Table$X_Labels[X_Summary_Table$X_Constraints=="X226"] &lt;- "X226: LÔH-DJIBOUA MILIEU 2 SEX 2 AGE 0_14"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5">
      <c r="A231" t="s">
        <v>283</v>
      </c>
      <c r="B231" s="7">
        <v>10615</v>
      </c>
      <c r="C231" s="8" t="s">
        <v>24</v>
      </c>
      <c r="D231" s="18">
        <v>2</v>
      </c>
      <c r="E231" s="18">
        <v>2</v>
      </c>
      <c r="F231" s="19" t="s">
        <v>9</v>
      </c>
      <c r="G231" s="20"/>
      <c r="H231" s="1" t="s">
        <v>55</v>
      </c>
      <c r="I231" s="1" t="str">
        <f t="shared" si="3"/>
        <v>X_Summary_Table$X_Labels[X_Summary_Table$X_Constraints=="X227"] &lt;- "X227: LÔH-DJIBOUA MILIEU 2 SEX 2 AGE 15_34"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5">
      <c r="A232" t="s">
        <v>284</v>
      </c>
      <c r="B232" s="7">
        <v>10615</v>
      </c>
      <c r="C232" s="8" t="s">
        <v>24</v>
      </c>
      <c r="D232" s="18">
        <v>2</v>
      </c>
      <c r="E232" s="18">
        <v>2</v>
      </c>
      <c r="F232" s="19" t="s">
        <v>10</v>
      </c>
      <c r="G232" s="20"/>
      <c r="H232" s="1" t="s">
        <v>55</v>
      </c>
      <c r="I232" s="1" t="str">
        <f t="shared" si="3"/>
        <v>X_Summary_Table$X_Labels[X_Summary_Table$X_Constraints=="X228"] &lt;- "X228: LÔH-DJIBOUA MILIEU 2 SEX 2 AGE 35_plus"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5">
      <c r="A233" t="s">
        <v>285</v>
      </c>
      <c r="B233" s="7">
        <v>10916</v>
      </c>
      <c r="C233" s="8" t="s">
        <v>25</v>
      </c>
      <c r="D233" s="9">
        <v>1</v>
      </c>
      <c r="E233" s="9">
        <v>1</v>
      </c>
      <c r="F233" s="10" t="s">
        <v>8</v>
      </c>
      <c r="G233" s="11"/>
      <c r="H233" s="1" t="s">
        <v>55</v>
      </c>
      <c r="I233" s="1" t="str">
        <f t="shared" si="3"/>
        <v>X_Summary_Table$X_Labels[X_Summary_Table$X_Constraints=="X229"] &lt;- "X229: AGNEBY-TIASSA MILIEU 1 SEX 1 AGE 0_14"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5">
      <c r="A234" t="s">
        <v>286</v>
      </c>
      <c r="B234" s="7">
        <v>10916</v>
      </c>
      <c r="C234" s="8" t="s">
        <v>25</v>
      </c>
      <c r="D234" s="9">
        <v>1</v>
      </c>
      <c r="E234" s="9">
        <v>1</v>
      </c>
      <c r="F234" s="10" t="s">
        <v>9</v>
      </c>
      <c r="G234" s="11"/>
      <c r="H234" s="1" t="s">
        <v>55</v>
      </c>
      <c r="I234" s="1" t="str">
        <f t="shared" si="3"/>
        <v>X_Summary_Table$X_Labels[X_Summary_Table$X_Constraints=="X230"] &lt;- "X230: AGNEBY-TIASSA MILIEU 1 SEX 1 AGE 15_34"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5">
      <c r="A235" t="s">
        <v>287</v>
      </c>
      <c r="B235" s="7">
        <v>10916</v>
      </c>
      <c r="C235" s="8" t="s">
        <v>25</v>
      </c>
      <c r="D235" s="9">
        <v>1</v>
      </c>
      <c r="E235" s="9">
        <v>1</v>
      </c>
      <c r="F235" s="10" t="s">
        <v>10</v>
      </c>
      <c r="G235" s="11"/>
      <c r="H235" s="1" t="s">
        <v>55</v>
      </c>
      <c r="I235" s="1" t="str">
        <f t="shared" si="3"/>
        <v>X_Summary_Table$X_Labels[X_Summary_Table$X_Constraints=="X231"] &lt;- "X231: AGNEBY-TIASSA MILIEU 1 SEX 1 AGE 35_plus"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5">
      <c r="A236" t="s">
        <v>288</v>
      </c>
      <c r="B236" s="7">
        <v>10916</v>
      </c>
      <c r="C236" s="8" t="s">
        <v>25</v>
      </c>
      <c r="D236" s="12">
        <v>1</v>
      </c>
      <c r="E236" s="12">
        <v>2</v>
      </c>
      <c r="F236" s="13" t="s">
        <v>8</v>
      </c>
      <c r="G236" s="14"/>
      <c r="H236" s="1" t="s">
        <v>55</v>
      </c>
      <c r="I236" s="1" t="str">
        <f t="shared" si="3"/>
        <v>X_Summary_Table$X_Labels[X_Summary_Table$X_Constraints=="X232"] &lt;- "X232: AGNEBY-TIASSA MILIEU 2 SEX 1 AGE 0_14"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5">
      <c r="A237" t="s">
        <v>289</v>
      </c>
      <c r="B237" s="7">
        <v>10916</v>
      </c>
      <c r="C237" s="8" t="s">
        <v>25</v>
      </c>
      <c r="D237" s="12">
        <v>1</v>
      </c>
      <c r="E237" s="12">
        <v>2</v>
      </c>
      <c r="F237" s="13" t="s">
        <v>9</v>
      </c>
      <c r="G237" s="14"/>
      <c r="H237" s="1" t="s">
        <v>55</v>
      </c>
      <c r="I237" s="1" t="str">
        <f t="shared" si="3"/>
        <v>X_Summary_Table$X_Labels[X_Summary_Table$X_Constraints=="X233"] &lt;- "X233: AGNEBY-TIASSA MILIEU 2 SEX 1 AGE 15_34"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5">
      <c r="A238" t="s">
        <v>290</v>
      </c>
      <c r="B238" s="7">
        <v>10916</v>
      </c>
      <c r="C238" s="8" t="s">
        <v>25</v>
      </c>
      <c r="D238" s="12">
        <v>1</v>
      </c>
      <c r="E238" s="12">
        <v>2</v>
      </c>
      <c r="F238" s="13" t="s">
        <v>10</v>
      </c>
      <c r="G238" s="14"/>
      <c r="H238" s="1" t="s">
        <v>55</v>
      </c>
      <c r="I238" s="1" t="str">
        <f t="shared" si="3"/>
        <v>X_Summary_Table$X_Labels[X_Summary_Table$X_Constraints=="X234"] &lt;- "X234: AGNEBY-TIASSA MILIEU 2 SEX 1 AGE 35_plus"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5">
      <c r="A239" t="s">
        <v>291</v>
      </c>
      <c r="B239" s="7">
        <v>10916</v>
      </c>
      <c r="C239" s="8" t="s">
        <v>25</v>
      </c>
      <c r="D239" s="15">
        <v>2</v>
      </c>
      <c r="E239" s="15">
        <v>1</v>
      </c>
      <c r="F239" s="16" t="s">
        <v>8</v>
      </c>
      <c r="G239" s="17"/>
      <c r="H239" s="1" t="s">
        <v>55</v>
      </c>
      <c r="I239" s="1" t="str">
        <f t="shared" si="3"/>
        <v>X_Summary_Table$X_Labels[X_Summary_Table$X_Constraints=="X235"] &lt;- "X235: AGNEBY-TIASSA MILIEU 1 SEX 2 AGE 0_14"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5">
      <c r="A240" t="s">
        <v>292</v>
      </c>
      <c r="B240" s="7">
        <v>10916</v>
      </c>
      <c r="C240" s="8" t="s">
        <v>25</v>
      </c>
      <c r="D240" s="15">
        <v>2</v>
      </c>
      <c r="E240" s="15">
        <v>1</v>
      </c>
      <c r="F240" s="16" t="s">
        <v>9</v>
      </c>
      <c r="G240" s="17"/>
      <c r="H240" s="1" t="s">
        <v>55</v>
      </c>
      <c r="I240" s="1" t="str">
        <f t="shared" si="3"/>
        <v>X_Summary_Table$X_Labels[X_Summary_Table$X_Constraints=="X236"] &lt;- "X236: AGNEBY-TIASSA MILIEU 1 SEX 2 AGE 15_34"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5">
      <c r="A241" t="s">
        <v>293</v>
      </c>
      <c r="B241" s="7">
        <v>10916</v>
      </c>
      <c r="C241" s="8" t="s">
        <v>25</v>
      </c>
      <c r="D241" s="15">
        <v>2</v>
      </c>
      <c r="E241" s="15">
        <v>1</v>
      </c>
      <c r="F241" s="16" t="s">
        <v>10</v>
      </c>
      <c r="G241" s="17"/>
      <c r="H241" s="1" t="s">
        <v>55</v>
      </c>
      <c r="I241" s="1" t="str">
        <f t="shared" si="3"/>
        <v>X_Summary_Table$X_Labels[X_Summary_Table$X_Constraints=="X237"] &lt;- "X237: AGNEBY-TIASSA MILIEU 1 SEX 2 AGE 35_plus"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5">
      <c r="A242" t="s">
        <v>294</v>
      </c>
      <c r="B242" s="7">
        <v>10916</v>
      </c>
      <c r="C242" s="8" t="s">
        <v>25</v>
      </c>
      <c r="D242" s="18">
        <v>2</v>
      </c>
      <c r="E242" s="18">
        <v>2</v>
      </c>
      <c r="F242" s="19" t="s">
        <v>8</v>
      </c>
      <c r="G242" s="20"/>
      <c r="H242" s="1" t="s">
        <v>55</v>
      </c>
      <c r="I242" s="1" t="str">
        <f t="shared" si="3"/>
        <v>X_Summary_Table$X_Labels[X_Summary_Table$X_Constraints=="X238"] &lt;- "X238: AGNEBY-TIASSA MILIEU 2 SEX 2 AGE 0_14"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5">
      <c r="A243" t="s">
        <v>295</v>
      </c>
      <c r="B243" s="7">
        <v>10916</v>
      </c>
      <c r="C243" s="8" t="s">
        <v>25</v>
      </c>
      <c r="D243" s="18">
        <v>2</v>
      </c>
      <c r="E243" s="18">
        <v>2</v>
      </c>
      <c r="F243" s="19" t="s">
        <v>9</v>
      </c>
      <c r="G243" s="20"/>
      <c r="H243" s="1" t="s">
        <v>55</v>
      </c>
      <c r="I243" s="1" t="str">
        <f t="shared" si="3"/>
        <v>X_Summary_Table$X_Labels[X_Summary_Table$X_Constraints=="X239"] &lt;- "X239: AGNEBY-TIASSA MILIEU 2 SEX 2 AGE 15_34"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5">
      <c r="A244" t="s">
        <v>296</v>
      </c>
      <c r="B244" s="7">
        <v>10916</v>
      </c>
      <c r="C244" s="8" t="s">
        <v>25</v>
      </c>
      <c r="D244" s="18">
        <v>2</v>
      </c>
      <c r="E244" s="18">
        <v>2</v>
      </c>
      <c r="F244" s="19" t="s">
        <v>10</v>
      </c>
      <c r="G244" s="20"/>
      <c r="H244" s="1" t="s">
        <v>55</v>
      </c>
      <c r="I244" s="1" t="str">
        <f t="shared" si="3"/>
        <v>X_Summary_Table$X_Labels[X_Summary_Table$X_Constraints=="X240"] &lt;- "X240: AGNEBY-TIASSA MILIEU 2 SEX 2 AGE 35_plus"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5">
      <c r="A245" t="s">
        <v>297</v>
      </c>
      <c r="B245" s="7">
        <v>10617</v>
      </c>
      <c r="C245" s="8" t="s">
        <v>26</v>
      </c>
      <c r="D245" s="9">
        <v>1</v>
      </c>
      <c r="E245" s="9">
        <v>1</v>
      </c>
      <c r="F245" s="10" t="s">
        <v>8</v>
      </c>
      <c r="G245" s="11"/>
      <c r="H245" s="1" t="s">
        <v>55</v>
      </c>
      <c r="I245" s="1" t="str">
        <f t="shared" si="3"/>
        <v>X_Summary_Table$X_Labels[X_Summary_Table$X_Constraints=="X241"] &lt;- "X241: GÔH MILIEU 1 SEX 1 AGE 0_14"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5">
      <c r="A246" t="s">
        <v>298</v>
      </c>
      <c r="B246" s="7">
        <v>10617</v>
      </c>
      <c r="C246" s="8" t="s">
        <v>26</v>
      </c>
      <c r="D246" s="9">
        <v>1</v>
      </c>
      <c r="E246" s="9">
        <v>1</v>
      </c>
      <c r="F246" s="10" t="s">
        <v>9</v>
      </c>
      <c r="G246" s="11"/>
      <c r="H246" s="1" t="s">
        <v>55</v>
      </c>
      <c r="I246" s="1" t="str">
        <f t="shared" ref="I246:I309" si="4">"X_Summary_Table$X_Labels[X_Summary_Table$X_Constraints==" &amp; H246 &amp; A246 &amp; H246 &amp; "] &lt;- " &amp; H246 &amp; A246 &amp; ": " &amp; C246 &amp; " MILIEU " &amp; E246 &amp;" SEX " &amp; D246 &amp;" AGE "&amp; F246 &amp; H246</f>
        <v>X_Summary_Table$X_Labels[X_Summary_Table$X_Constraints=="X242"] &lt;- "X242: GÔH MILIEU 1 SEX 1 AGE 15_34"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5">
      <c r="A247" t="s">
        <v>299</v>
      </c>
      <c r="B247" s="7">
        <v>10617</v>
      </c>
      <c r="C247" s="8" t="s">
        <v>26</v>
      </c>
      <c r="D247" s="9">
        <v>1</v>
      </c>
      <c r="E247" s="9">
        <v>1</v>
      </c>
      <c r="F247" s="10" t="s">
        <v>10</v>
      </c>
      <c r="G247" s="11"/>
      <c r="H247" s="1" t="s">
        <v>55</v>
      </c>
      <c r="I247" s="1" t="str">
        <f t="shared" si="4"/>
        <v>X_Summary_Table$X_Labels[X_Summary_Table$X_Constraints=="X243"] &lt;- "X243: GÔH MILIEU 1 SEX 1 AGE 35_plus"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5">
      <c r="A248" t="s">
        <v>300</v>
      </c>
      <c r="B248" s="7">
        <v>10617</v>
      </c>
      <c r="C248" s="8" t="s">
        <v>26</v>
      </c>
      <c r="D248" s="12">
        <v>1</v>
      </c>
      <c r="E248" s="12">
        <v>2</v>
      </c>
      <c r="F248" s="13" t="s">
        <v>8</v>
      </c>
      <c r="G248" s="14"/>
      <c r="H248" s="1" t="s">
        <v>55</v>
      </c>
      <c r="I248" s="1" t="str">
        <f t="shared" si="4"/>
        <v>X_Summary_Table$X_Labels[X_Summary_Table$X_Constraints=="X244"] &lt;- "X244: GÔH MILIEU 2 SEX 1 AGE 0_14"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5">
      <c r="A249" t="s">
        <v>301</v>
      </c>
      <c r="B249" s="7">
        <v>10617</v>
      </c>
      <c r="C249" s="8" t="s">
        <v>26</v>
      </c>
      <c r="D249" s="12">
        <v>1</v>
      </c>
      <c r="E249" s="12">
        <v>2</v>
      </c>
      <c r="F249" s="13" t="s">
        <v>9</v>
      </c>
      <c r="G249" s="14"/>
      <c r="H249" s="1" t="s">
        <v>55</v>
      </c>
      <c r="I249" s="1" t="str">
        <f t="shared" si="4"/>
        <v>X_Summary_Table$X_Labels[X_Summary_Table$X_Constraints=="X245"] &lt;- "X245: GÔH MILIEU 2 SEX 1 AGE 15_34"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5">
      <c r="A250" t="s">
        <v>302</v>
      </c>
      <c r="B250" s="7">
        <v>10617</v>
      </c>
      <c r="C250" s="8" t="s">
        <v>26</v>
      </c>
      <c r="D250" s="12">
        <v>1</v>
      </c>
      <c r="E250" s="12">
        <v>2</v>
      </c>
      <c r="F250" s="13" t="s">
        <v>10</v>
      </c>
      <c r="G250" s="14"/>
      <c r="H250" s="1" t="s">
        <v>55</v>
      </c>
      <c r="I250" s="1" t="str">
        <f t="shared" si="4"/>
        <v>X_Summary_Table$X_Labels[X_Summary_Table$X_Constraints=="X246"] &lt;- "X246: GÔH MILIEU 2 SEX 1 AGE 35_plus"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5">
      <c r="A251" t="s">
        <v>303</v>
      </c>
      <c r="B251" s="7">
        <v>10617</v>
      </c>
      <c r="C251" s="8" t="s">
        <v>26</v>
      </c>
      <c r="D251" s="15">
        <v>2</v>
      </c>
      <c r="E251" s="15">
        <v>1</v>
      </c>
      <c r="F251" s="16" t="s">
        <v>8</v>
      </c>
      <c r="G251" s="17"/>
      <c r="H251" s="1" t="s">
        <v>55</v>
      </c>
      <c r="I251" s="1" t="str">
        <f t="shared" si="4"/>
        <v>X_Summary_Table$X_Labels[X_Summary_Table$X_Constraints=="X247"] &lt;- "X247: GÔH MILIEU 1 SEX 2 AGE 0_14"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5">
      <c r="A252" t="s">
        <v>304</v>
      </c>
      <c r="B252" s="7">
        <v>10617</v>
      </c>
      <c r="C252" s="8" t="s">
        <v>26</v>
      </c>
      <c r="D252" s="15">
        <v>2</v>
      </c>
      <c r="E252" s="15">
        <v>1</v>
      </c>
      <c r="F252" s="16" t="s">
        <v>9</v>
      </c>
      <c r="G252" s="17"/>
      <c r="H252" s="1" t="s">
        <v>55</v>
      </c>
      <c r="I252" s="1" t="str">
        <f t="shared" si="4"/>
        <v>X_Summary_Table$X_Labels[X_Summary_Table$X_Constraints=="X248"] &lt;- "X248: GÔH MILIEU 1 SEX 2 AGE 15_34"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5">
      <c r="A253" t="s">
        <v>305</v>
      </c>
      <c r="B253" s="7">
        <v>10617</v>
      </c>
      <c r="C253" s="8" t="s">
        <v>26</v>
      </c>
      <c r="D253" s="15">
        <v>2</v>
      </c>
      <c r="E253" s="15">
        <v>1</v>
      </c>
      <c r="F253" s="16" t="s">
        <v>10</v>
      </c>
      <c r="G253" s="17"/>
      <c r="H253" s="1" t="s">
        <v>55</v>
      </c>
      <c r="I253" s="1" t="str">
        <f t="shared" si="4"/>
        <v>X_Summary_Table$X_Labels[X_Summary_Table$X_Constraints=="X249"] &lt;- "X249: GÔH MILIEU 1 SEX 2 AGE 35_plus"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5">
      <c r="A254" t="s">
        <v>306</v>
      </c>
      <c r="B254" s="7">
        <v>10617</v>
      </c>
      <c r="C254" s="8" t="s">
        <v>26</v>
      </c>
      <c r="D254" s="18">
        <v>2</v>
      </c>
      <c r="E254" s="18">
        <v>2</v>
      </c>
      <c r="F254" s="19" t="s">
        <v>8</v>
      </c>
      <c r="G254" s="20"/>
      <c r="H254" s="1" t="s">
        <v>55</v>
      </c>
      <c r="I254" s="1" t="str">
        <f t="shared" si="4"/>
        <v>X_Summary_Table$X_Labels[X_Summary_Table$X_Constraints=="X250"] &lt;- "X250: GÔH MILIEU 2 SEX 2 AGE 0_14"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5">
      <c r="A255" t="s">
        <v>307</v>
      </c>
      <c r="B255" s="7">
        <v>10617</v>
      </c>
      <c r="C255" s="8" t="s">
        <v>26</v>
      </c>
      <c r="D255" s="18">
        <v>2</v>
      </c>
      <c r="E255" s="18">
        <v>2</v>
      </c>
      <c r="F255" s="19" t="s">
        <v>9</v>
      </c>
      <c r="G255" s="20"/>
      <c r="H255" s="1" t="s">
        <v>55</v>
      </c>
      <c r="I255" s="1" t="str">
        <f t="shared" si="4"/>
        <v>X_Summary_Table$X_Labels[X_Summary_Table$X_Constraints=="X251"] &lt;- "X251: GÔH MILIEU 2 SEX 2 AGE 15_34"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5">
      <c r="A256" t="s">
        <v>308</v>
      </c>
      <c r="B256" s="7">
        <v>10617</v>
      </c>
      <c r="C256" s="8" t="s">
        <v>26</v>
      </c>
      <c r="D256" s="18">
        <v>2</v>
      </c>
      <c r="E256" s="18">
        <v>2</v>
      </c>
      <c r="F256" s="19" t="s">
        <v>10</v>
      </c>
      <c r="G256" s="20"/>
      <c r="H256" s="1" t="s">
        <v>55</v>
      </c>
      <c r="I256" s="1" t="str">
        <f t="shared" si="4"/>
        <v>X_Summary_Table$X_Labels[X_Summary_Table$X_Constraints=="X252"] &lt;- "X252: GÔH MILIEU 2 SEX 2 AGE 35_plus"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5">
      <c r="A257" t="s">
        <v>309</v>
      </c>
      <c r="B257" s="7">
        <v>11018</v>
      </c>
      <c r="C257" s="8" t="s">
        <v>27</v>
      </c>
      <c r="D257" s="9">
        <v>1</v>
      </c>
      <c r="E257" s="9">
        <v>1</v>
      </c>
      <c r="F257" s="10" t="s">
        <v>8</v>
      </c>
      <c r="G257" s="11"/>
      <c r="H257" s="1" t="s">
        <v>55</v>
      </c>
      <c r="I257" s="1" t="str">
        <f t="shared" si="4"/>
        <v>X_Summary_Table$X_Labels[X_Summary_Table$X_Constraints=="X253"] &lt;- "X253: CAVALLY MILIEU 1 SEX 1 AGE 0_14"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5">
      <c r="A258" t="s">
        <v>310</v>
      </c>
      <c r="B258" s="7">
        <v>11018</v>
      </c>
      <c r="C258" s="8" t="s">
        <v>27</v>
      </c>
      <c r="D258" s="9">
        <v>1</v>
      </c>
      <c r="E258" s="9">
        <v>1</v>
      </c>
      <c r="F258" s="10" t="s">
        <v>9</v>
      </c>
      <c r="G258" s="11"/>
      <c r="H258" s="1" t="s">
        <v>55</v>
      </c>
      <c r="I258" s="1" t="str">
        <f t="shared" si="4"/>
        <v>X_Summary_Table$X_Labels[X_Summary_Table$X_Constraints=="X254"] &lt;- "X254: CAVALLY MILIEU 1 SEX 1 AGE 15_34"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5">
      <c r="A259" t="s">
        <v>311</v>
      </c>
      <c r="B259" s="7">
        <v>11018</v>
      </c>
      <c r="C259" s="8" t="s">
        <v>27</v>
      </c>
      <c r="D259" s="9">
        <v>1</v>
      </c>
      <c r="E259" s="9">
        <v>1</v>
      </c>
      <c r="F259" s="10" t="s">
        <v>10</v>
      </c>
      <c r="G259" s="11"/>
      <c r="H259" s="1" t="s">
        <v>55</v>
      </c>
      <c r="I259" s="1" t="str">
        <f t="shared" si="4"/>
        <v>X_Summary_Table$X_Labels[X_Summary_Table$X_Constraints=="X255"] &lt;- "X255: CAVALLY MILIEU 1 SEX 1 AGE 35_plus"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5">
      <c r="A260" t="s">
        <v>312</v>
      </c>
      <c r="B260" s="7">
        <v>11018</v>
      </c>
      <c r="C260" s="8" t="s">
        <v>27</v>
      </c>
      <c r="D260" s="12">
        <v>1</v>
      </c>
      <c r="E260" s="12">
        <v>2</v>
      </c>
      <c r="F260" s="13" t="s">
        <v>8</v>
      </c>
      <c r="G260" s="14"/>
      <c r="H260" s="1" t="s">
        <v>55</v>
      </c>
      <c r="I260" s="1" t="str">
        <f t="shared" si="4"/>
        <v>X_Summary_Table$X_Labels[X_Summary_Table$X_Constraints=="X256"] &lt;- "X256: CAVALLY MILIEU 2 SEX 1 AGE 0_14"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5">
      <c r="A261" t="s">
        <v>313</v>
      </c>
      <c r="B261" s="7">
        <v>11018</v>
      </c>
      <c r="C261" s="8" t="s">
        <v>27</v>
      </c>
      <c r="D261" s="12">
        <v>1</v>
      </c>
      <c r="E261" s="12">
        <v>2</v>
      </c>
      <c r="F261" s="13" t="s">
        <v>9</v>
      </c>
      <c r="G261" s="14"/>
      <c r="H261" s="1" t="s">
        <v>55</v>
      </c>
      <c r="I261" s="1" t="str">
        <f t="shared" si="4"/>
        <v>X_Summary_Table$X_Labels[X_Summary_Table$X_Constraints=="X257"] &lt;- "X257: CAVALLY MILIEU 2 SEX 1 AGE 15_34"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5">
      <c r="A262" t="s">
        <v>314</v>
      </c>
      <c r="B262" s="7">
        <v>11018</v>
      </c>
      <c r="C262" s="8" t="s">
        <v>27</v>
      </c>
      <c r="D262" s="12">
        <v>1</v>
      </c>
      <c r="E262" s="12">
        <v>2</v>
      </c>
      <c r="F262" s="13" t="s">
        <v>10</v>
      </c>
      <c r="G262" s="14"/>
      <c r="H262" s="1" t="s">
        <v>55</v>
      </c>
      <c r="I262" s="1" t="str">
        <f t="shared" si="4"/>
        <v>X_Summary_Table$X_Labels[X_Summary_Table$X_Constraints=="X258"] &lt;- "X258: CAVALLY MILIEU 2 SEX 1 AGE 35_plus"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5">
      <c r="A263" t="s">
        <v>315</v>
      </c>
      <c r="B263" s="7">
        <v>11018</v>
      </c>
      <c r="C263" s="8" t="s">
        <v>27</v>
      </c>
      <c r="D263" s="15">
        <v>2</v>
      </c>
      <c r="E263" s="15">
        <v>1</v>
      </c>
      <c r="F263" s="16" t="s">
        <v>8</v>
      </c>
      <c r="G263" s="17"/>
      <c r="H263" s="1" t="s">
        <v>55</v>
      </c>
      <c r="I263" s="1" t="str">
        <f t="shared" si="4"/>
        <v>X_Summary_Table$X_Labels[X_Summary_Table$X_Constraints=="X259"] &lt;- "X259: CAVALLY MILIEU 1 SEX 2 AGE 0_14"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5">
      <c r="A264" t="s">
        <v>316</v>
      </c>
      <c r="B264" s="7">
        <v>11018</v>
      </c>
      <c r="C264" s="8" t="s">
        <v>27</v>
      </c>
      <c r="D264" s="15">
        <v>2</v>
      </c>
      <c r="E264" s="15">
        <v>1</v>
      </c>
      <c r="F264" s="16" t="s">
        <v>9</v>
      </c>
      <c r="G264" s="17"/>
      <c r="H264" s="1" t="s">
        <v>55</v>
      </c>
      <c r="I264" s="1" t="str">
        <f t="shared" si="4"/>
        <v>X_Summary_Table$X_Labels[X_Summary_Table$X_Constraints=="X260"] &lt;- "X260: CAVALLY MILIEU 1 SEX 2 AGE 15_34"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5">
      <c r="A265" t="s">
        <v>317</v>
      </c>
      <c r="B265" s="7">
        <v>11018</v>
      </c>
      <c r="C265" s="8" t="s">
        <v>27</v>
      </c>
      <c r="D265" s="15">
        <v>2</v>
      </c>
      <c r="E265" s="15">
        <v>1</v>
      </c>
      <c r="F265" s="16" t="s">
        <v>10</v>
      </c>
      <c r="G265" s="17"/>
      <c r="H265" s="1" t="s">
        <v>55</v>
      </c>
      <c r="I265" s="1" t="str">
        <f t="shared" si="4"/>
        <v>X_Summary_Table$X_Labels[X_Summary_Table$X_Constraints=="X261"] &lt;- "X261: CAVALLY MILIEU 1 SEX 2 AGE 35_plus"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5">
      <c r="A266" t="s">
        <v>318</v>
      </c>
      <c r="B266" s="7">
        <v>11018</v>
      </c>
      <c r="C266" s="8" t="s">
        <v>27</v>
      </c>
      <c r="D266" s="18">
        <v>2</v>
      </c>
      <c r="E266" s="18">
        <v>2</v>
      </c>
      <c r="F266" s="19" t="s">
        <v>8</v>
      </c>
      <c r="G266" s="20"/>
      <c r="H266" s="1" t="s">
        <v>55</v>
      </c>
      <c r="I266" s="1" t="str">
        <f t="shared" si="4"/>
        <v>X_Summary_Table$X_Labels[X_Summary_Table$X_Constraints=="X262"] &lt;- "X262: CAVALLY MILIEU 2 SEX 2 AGE 0_14"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5">
      <c r="A267" t="s">
        <v>319</v>
      </c>
      <c r="B267" s="7">
        <v>11018</v>
      </c>
      <c r="C267" s="8" t="s">
        <v>27</v>
      </c>
      <c r="D267" s="18">
        <v>2</v>
      </c>
      <c r="E267" s="18">
        <v>2</v>
      </c>
      <c r="F267" s="19" t="s">
        <v>9</v>
      </c>
      <c r="G267" s="20"/>
      <c r="H267" s="1" t="s">
        <v>55</v>
      </c>
      <c r="I267" s="1" t="str">
        <f t="shared" si="4"/>
        <v>X_Summary_Table$X_Labels[X_Summary_Table$X_Constraints=="X263"] &lt;- "X263: CAVALLY MILIEU 2 SEX 2 AGE 15_34"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5">
      <c r="A268" t="s">
        <v>320</v>
      </c>
      <c r="B268" s="7">
        <v>11018</v>
      </c>
      <c r="C268" s="8" t="s">
        <v>27</v>
      </c>
      <c r="D268" s="18">
        <v>2</v>
      </c>
      <c r="E268" s="18">
        <v>2</v>
      </c>
      <c r="F268" s="19" t="s">
        <v>10</v>
      </c>
      <c r="G268" s="20"/>
      <c r="H268" s="1" t="s">
        <v>55</v>
      </c>
      <c r="I268" s="1" t="str">
        <f t="shared" si="4"/>
        <v>X_Summary_Table$X_Labels[X_Summary_Table$X_Constraints=="X264"] &lt;- "X264: CAVALLY MILIEU 2 SEX 2 AGE 35_plus"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5">
      <c r="A269" t="s">
        <v>321</v>
      </c>
      <c r="B269" s="7">
        <v>11319</v>
      </c>
      <c r="C269" s="8" t="s">
        <v>28</v>
      </c>
      <c r="D269" s="9">
        <v>1</v>
      </c>
      <c r="E269" s="9">
        <v>1</v>
      </c>
      <c r="F269" s="10" t="s">
        <v>8</v>
      </c>
      <c r="G269" s="11"/>
      <c r="H269" s="1" t="s">
        <v>55</v>
      </c>
      <c r="I269" s="1" t="str">
        <f t="shared" si="4"/>
        <v>X_Summary_Table$X_Labels[X_Summary_Table$X_Constraints=="X265"] &lt;- "X265: BAFING MILIEU 1 SEX 1 AGE 0_14"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5">
      <c r="A270" t="s">
        <v>322</v>
      </c>
      <c r="B270" s="7">
        <v>11319</v>
      </c>
      <c r="C270" s="8" t="s">
        <v>28</v>
      </c>
      <c r="D270" s="9">
        <v>1</v>
      </c>
      <c r="E270" s="9">
        <v>1</v>
      </c>
      <c r="F270" s="10" t="s">
        <v>9</v>
      </c>
      <c r="G270" s="11"/>
      <c r="H270" s="1" t="s">
        <v>55</v>
      </c>
      <c r="I270" s="1" t="str">
        <f t="shared" si="4"/>
        <v>X_Summary_Table$X_Labels[X_Summary_Table$X_Constraints=="X266"] &lt;- "X266: BAFING MILIEU 1 SEX 1 AGE 15_34"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5">
      <c r="A271" t="s">
        <v>323</v>
      </c>
      <c r="B271" s="7">
        <v>11319</v>
      </c>
      <c r="C271" s="8" t="s">
        <v>28</v>
      </c>
      <c r="D271" s="9">
        <v>1</v>
      </c>
      <c r="E271" s="9">
        <v>1</v>
      </c>
      <c r="F271" s="10" t="s">
        <v>10</v>
      </c>
      <c r="G271" s="11"/>
      <c r="H271" s="1" t="s">
        <v>55</v>
      </c>
      <c r="I271" s="1" t="str">
        <f t="shared" si="4"/>
        <v>X_Summary_Table$X_Labels[X_Summary_Table$X_Constraints=="X267"] &lt;- "X267: BAFING MILIEU 1 SEX 1 AGE 35_plus"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5">
      <c r="A272" t="s">
        <v>324</v>
      </c>
      <c r="B272" s="7">
        <v>11319</v>
      </c>
      <c r="C272" s="8" t="s">
        <v>28</v>
      </c>
      <c r="D272" s="12">
        <v>1</v>
      </c>
      <c r="E272" s="12">
        <v>2</v>
      </c>
      <c r="F272" s="13" t="s">
        <v>8</v>
      </c>
      <c r="G272" s="14"/>
      <c r="H272" s="1" t="s">
        <v>55</v>
      </c>
      <c r="I272" s="1" t="str">
        <f t="shared" si="4"/>
        <v>X_Summary_Table$X_Labels[X_Summary_Table$X_Constraints=="X268"] &lt;- "X268: BAFING MILIEU 2 SEX 1 AGE 0_14"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5">
      <c r="A273" t="s">
        <v>325</v>
      </c>
      <c r="B273" s="7">
        <v>11319</v>
      </c>
      <c r="C273" s="8" t="s">
        <v>28</v>
      </c>
      <c r="D273" s="12">
        <v>1</v>
      </c>
      <c r="E273" s="12">
        <v>2</v>
      </c>
      <c r="F273" s="13" t="s">
        <v>9</v>
      </c>
      <c r="G273" s="14"/>
      <c r="H273" s="1" t="s">
        <v>55</v>
      </c>
      <c r="I273" s="1" t="str">
        <f t="shared" si="4"/>
        <v>X_Summary_Table$X_Labels[X_Summary_Table$X_Constraints=="X269"] &lt;- "X269: BAFING MILIEU 2 SEX 1 AGE 15_34"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5">
      <c r="A274" t="s">
        <v>326</v>
      </c>
      <c r="B274" s="7">
        <v>11319</v>
      </c>
      <c r="C274" s="8" t="s">
        <v>28</v>
      </c>
      <c r="D274" s="12">
        <v>1</v>
      </c>
      <c r="E274" s="12">
        <v>2</v>
      </c>
      <c r="F274" s="13" t="s">
        <v>10</v>
      </c>
      <c r="G274" s="14"/>
      <c r="H274" s="1" t="s">
        <v>55</v>
      </c>
      <c r="I274" s="1" t="str">
        <f t="shared" si="4"/>
        <v>X_Summary_Table$X_Labels[X_Summary_Table$X_Constraints=="X270"] &lt;- "X270: BAFING MILIEU 2 SEX 1 AGE 35_plus"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5">
      <c r="A275" t="s">
        <v>327</v>
      </c>
      <c r="B275" s="7">
        <v>11319</v>
      </c>
      <c r="C275" s="8" t="s">
        <v>28</v>
      </c>
      <c r="D275" s="15">
        <v>2</v>
      </c>
      <c r="E275" s="15">
        <v>1</v>
      </c>
      <c r="F275" s="16" t="s">
        <v>8</v>
      </c>
      <c r="G275" s="17"/>
      <c r="H275" s="1" t="s">
        <v>55</v>
      </c>
      <c r="I275" s="1" t="str">
        <f t="shared" si="4"/>
        <v>X_Summary_Table$X_Labels[X_Summary_Table$X_Constraints=="X271"] &lt;- "X271: BAFING MILIEU 1 SEX 2 AGE 0_14"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5">
      <c r="A276" t="s">
        <v>328</v>
      </c>
      <c r="B276" s="7">
        <v>11319</v>
      </c>
      <c r="C276" s="8" t="s">
        <v>28</v>
      </c>
      <c r="D276" s="15">
        <v>2</v>
      </c>
      <c r="E276" s="15">
        <v>1</v>
      </c>
      <c r="F276" s="16" t="s">
        <v>9</v>
      </c>
      <c r="G276" s="17"/>
      <c r="H276" s="1" t="s">
        <v>55</v>
      </c>
      <c r="I276" s="1" t="str">
        <f t="shared" si="4"/>
        <v>X_Summary_Table$X_Labels[X_Summary_Table$X_Constraints=="X272"] &lt;- "X272: BAFING MILIEU 1 SEX 2 AGE 15_34"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5">
      <c r="A277" t="s">
        <v>329</v>
      </c>
      <c r="B277" s="7">
        <v>11319</v>
      </c>
      <c r="C277" s="8" t="s">
        <v>28</v>
      </c>
      <c r="D277" s="15">
        <v>2</v>
      </c>
      <c r="E277" s="15">
        <v>1</v>
      </c>
      <c r="F277" s="16" t="s">
        <v>10</v>
      </c>
      <c r="G277" s="17"/>
      <c r="H277" s="1" t="s">
        <v>55</v>
      </c>
      <c r="I277" s="1" t="str">
        <f t="shared" si="4"/>
        <v>X_Summary_Table$X_Labels[X_Summary_Table$X_Constraints=="X273"] &lt;- "X273: BAFING MILIEU 1 SEX 2 AGE 35_plus"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5">
      <c r="A278" t="s">
        <v>330</v>
      </c>
      <c r="B278" s="7">
        <v>11319</v>
      </c>
      <c r="C278" s="8" t="s">
        <v>28</v>
      </c>
      <c r="D278" s="18">
        <v>2</v>
      </c>
      <c r="E278" s="18">
        <v>2</v>
      </c>
      <c r="F278" s="19" t="s">
        <v>8</v>
      </c>
      <c r="G278" s="20"/>
      <c r="H278" s="1" t="s">
        <v>55</v>
      </c>
      <c r="I278" s="1" t="str">
        <f t="shared" si="4"/>
        <v>X_Summary_Table$X_Labels[X_Summary_Table$X_Constraints=="X274"] &lt;- "X274: BAFING MILIEU 2 SEX 2 AGE 0_14"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5">
      <c r="A279" t="s">
        <v>331</v>
      </c>
      <c r="B279" s="7">
        <v>11319</v>
      </c>
      <c r="C279" s="8" t="s">
        <v>28</v>
      </c>
      <c r="D279" s="18">
        <v>2</v>
      </c>
      <c r="E279" s="18">
        <v>2</v>
      </c>
      <c r="F279" s="19" t="s">
        <v>9</v>
      </c>
      <c r="G279" s="20"/>
      <c r="H279" s="1" t="s">
        <v>55</v>
      </c>
      <c r="I279" s="1" t="str">
        <f t="shared" si="4"/>
        <v>X_Summary_Table$X_Labels[X_Summary_Table$X_Constraints=="X275"] &lt;- "X275: BAFING MILIEU 2 SEX 2 AGE 15_34"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5">
      <c r="A280" t="s">
        <v>332</v>
      </c>
      <c r="B280" s="7">
        <v>11319</v>
      </c>
      <c r="C280" s="8" t="s">
        <v>28</v>
      </c>
      <c r="D280" s="18">
        <v>2</v>
      </c>
      <c r="E280" s="18">
        <v>2</v>
      </c>
      <c r="F280" s="19" t="s">
        <v>10</v>
      </c>
      <c r="G280" s="20"/>
      <c r="H280" s="1" t="s">
        <v>55</v>
      </c>
      <c r="I280" s="1" t="str">
        <f t="shared" si="4"/>
        <v>X_Summary_Table$X_Labels[X_Summary_Table$X_Constraints=="X276"] &lt;- "X276: BAFING MILIEU 2 SEX 2 AGE 35_plus"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5">
      <c r="A281" t="s">
        <v>333</v>
      </c>
      <c r="B281" s="7">
        <v>11120</v>
      </c>
      <c r="C281" s="8" t="s">
        <v>29</v>
      </c>
      <c r="D281" s="9">
        <v>1</v>
      </c>
      <c r="E281" s="9">
        <v>1</v>
      </c>
      <c r="F281" s="10" t="s">
        <v>8</v>
      </c>
      <c r="G281" s="11"/>
      <c r="H281" s="1" t="s">
        <v>55</v>
      </c>
      <c r="I281" s="1" t="str">
        <f t="shared" si="4"/>
        <v>X_Summary_Table$X_Labels[X_Summary_Table$X_Constraints=="X277"] &lt;- "X277: BAGOUE MILIEU 1 SEX 1 AGE 0_14"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5">
      <c r="A282" t="s">
        <v>334</v>
      </c>
      <c r="B282" s="7">
        <v>11120</v>
      </c>
      <c r="C282" s="8" t="s">
        <v>29</v>
      </c>
      <c r="D282" s="9">
        <v>1</v>
      </c>
      <c r="E282" s="9">
        <v>1</v>
      </c>
      <c r="F282" s="10" t="s">
        <v>9</v>
      </c>
      <c r="G282" s="11"/>
      <c r="H282" s="1" t="s">
        <v>55</v>
      </c>
      <c r="I282" s="1" t="str">
        <f t="shared" si="4"/>
        <v>X_Summary_Table$X_Labels[X_Summary_Table$X_Constraints=="X278"] &lt;- "X278: BAGOUE MILIEU 1 SEX 1 AGE 15_34"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5">
      <c r="A283" t="s">
        <v>335</v>
      </c>
      <c r="B283" s="7">
        <v>11120</v>
      </c>
      <c r="C283" s="8" t="s">
        <v>29</v>
      </c>
      <c r="D283" s="9">
        <v>1</v>
      </c>
      <c r="E283" s="9">
        <v>1</v>
      </c>
      <c r="F283" s="10" t="s">
        <v>10</v>
      </c>
      <c r="G283" s="11"/>
      <c r="H283" s="1" t="s">
        <v>55</v>
      </c>
      <c r="I283" s="1" t="str">
        <f t="shared" si="4"/>
        <v>X_Summary_Table$X_Labels[X_Summary_Table$X_Constraints=="X279"] &lt;- "X279: BAGOUE MILIEU 1 SEX 1 AGE 35_plus"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5">
      <c r="A284" t="s">
        <v>336</v>
      </c>
      <c r="B284" s="7">
        <v>11120</v>
      </c>
      <c r="C284" s="8" t="s">
        <v>29</v>
      </c>
      <c r="D284" s="12">
        <v>1</v>
      </c>
      <c r="E284" s="12">
        <v>2</v>
      </c>
      <c r="F284" s="13" t="s">
        <v>8</v>
      </c>
      <c r="G284" s="14"/>
      <c r="H284" s="1" t="s">
        <v>55</v>
      </c>
      <c r="I284" s="1" t="str">
        <f t="shared" si="4"/>
        <v>X_Summary_Table$X_Labels[X_Summary_Table$X_Constraints=="X280"] &lt;- "X280: BAGOUE MILIEU 2 SEX 1 AGE 0_14"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5">
      <c r="A285" t="s">
        <v>337</v>
      </c>
      <c r="B285" s="7">
        <v>11120</v>
      </c>
      <c r="C285" s="8" t="s">
        <v>29</v>
      </c>
      <c r="D285" s="12">
        <v>1</v>
      </c>
      <c r="E285" s="12">
        <v>2</v>
      </c>
      <c r="F285" s="13" t="s">
        <v>9</v>
      </c>
      <c r="G285" s="14"/>
      <c r="H285" s="1" t="s">
        <v>55</v>
      </c>
      <c r="I285" s="1" t="str">
        <f t="shared" si="4"/>
        <v>X_Summary_Table$X_Labels[X_Summary_Table$X_Constraints=="X281"] &lt;- "X281: BAGOUE MILIEU 2 SEX 1 AGE 15_34"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5">
      <c r="A286" t="s">
        <v>338</v>
      </c>
      <c r="B286" s="7">
        <v>11120</v>
      </c>
      <c r="C286" s="8" t="s">
        <v>29</v>
      </c>
      <c r="D286" s="12">
        <v>1</v>
      </c>
      <c r="E286" s="12">
        <v>2</v>
      </c>
      <c r="F286" s="13" t="s">
        <v>10</v>
      </c>
      <c r="G286" s="14"/>
      <c r="H286" s="1" t="s">
        <v>55</v>
      </c>
      <c r="I286" s="1" t="str">
        <f t="shared" si="4"/>
        <v>X_Summary_Table$X_Labels[X_Summary_Table$X_Constraints=="X282"] &lt;- "X282: BAGOUE MILIEU 2 SEX 1 AGE 35_plus"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5">
      <c r="A287" t="s">
        <v>339</v>
      </c>
      <c r="B287" s="7">
        <v>11120</v>
      </c>
      <c r="C287" s="8" t="s">
        <v>29</v>
      </c>
      <c r="D287" s="15">
        <v>2</v>
      </c>
      <c r="E287" s="15">
        <v>1</v>
      </c>
      <c r="F287" s="16" t="s">
        <v>8</v>
      </c>
      <c r="G287" s="17"/>
      <c r="H287" s="1" t="s">
        <v>55</v>
      </c>
      <c r="I287" s="1" t="str">
        <f t="shared" si="4"/>
        <v>X_Summary_Table$X_Labels[X_Summary_Table$X_Constraints=="X283"] &lt;- "X283: BAGOUE MILIEU 1 SEX 2 AGE 0_14"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5">
      <c r="A288" t="s">
        <v>340</v>
      </c>
      <c r="B288" s="7">
        <v>11120</v>
      </c>
      <c r="C288" s="8" t="s">
        <v>29</v>
      </c>
      <c r="D288" s="15">
        <v>2</v>
      </c>
      <c r="E288" s="15">
        <v>1</v>
      </c>
      <c r="F288" s="16" t="s">
        <v>9</v>
      </c>
      <c r="G288" s="17"/>
      <c r="H288" s="1" t="s">
        <v>55</v>
      </c>
      <c r="I288" s="1" t="str">
        <f t="shared" si="4"/>
        <v>X_Summary_Table$X_Labels[X_Summary_Table$X_Constraints=="X284"] &lt;- "X284: BAGOUE MILIEU 1 SEX 2 AGE 15_34"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5">
      <c r="A289" t="s">
        <v>341</v>
      </c>
      <c r="B289" s="7">
        <v>11120</v>
      </c>
      <c r="C289" s="8" t="s">
        <v>29</v>
      </c>
      <c r="D289" s="15">
        <v>2</v>
      </c>
      <c r="E289" s="15">
        <v>1</v>
      </c>
      <c r="F289" s="16" t="s">
        <v>10</v>
      </c>
      <c r="G289" s="17"/>
      <c r="H289" s="1" t="s">
        <v>55</v>
      </c>
      <c r="I289" s="1" t="str">
        <f t="shared" si="4"/>
        <v>X_Summary_Table$X_Labels[X_Summary_Table$X_Constraints=="X285"] &lt;- "X285: BAGOUE MILIEU 1 SEX 2 AGE 35_plus"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5">
      <c r="A290" t="s">
        <v>342</v>
      </c>
      <c r="B290" s="7">
        <v>11120</v>
      </c>
      <c r="C290" s="8" t="s">
        <v>29</v>
      </c>
      <c r="D290" s="18">
        <v>2</v>
      </c>
      <c r="E290" s="18">
        <v>2</v>
      </c>
      <c r="F290" s="19" t="s">
        <v>8</v>
      </c>
      <c r="G290" s="20"/>
      <c r="H290" s="1" t="s">
        <v>55</v>
      </c>
      <c r="I290" s="1" t="str">
        <f t="shared" si="4"/>
        <v>X_Summary_Table$X_Labels[X_Summary_Table$X_Constraints=="X286"] &lt;- "X286: BAGOUE MILIEU 2 SEX 2 AGE 0_14"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5">
      <c r="A291" t="s">
        <v>343</v>
      </c>
      <c r="B291" s="7">
        <v>11120</v>
      </c>
      <c r="C291" s="8" t="s">
        <v>29</v>
      </c>
      <c r="D291" s="18">
        <v>2</v>
      </c>
      <c r="E291" s="18">
        <v>2</v>
      </c>
      <c r="F291" s="19" t="s">
        <v>9</v>
      </c>
      <c r="G291" s="20"/>
      <c r="H291" s="1" t="s">
        <v>55</v>
      </c>
      <c r="I291" s="1" t="str">
        <f t="shared" si="4"/>
        <v>X_Summary_Table$X_Labels[X_Summary_Table$X_Constraints=="X287"] &lt;- "X287: BAGOUE MILIEU 2 SEX 2 AGE 15_34"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5">
      <c r="A292" t="s">
        <v>344</v>
      </c>
      <c r="B292" s="7">
        <v>11120</v>
      </c>
      <c r="C292" s="8" t="s">
        <v>29</v>
      </c>
      <c r="D292" s="18">
        <v>2</v>
      </c>
      <c r="E292" s="18">
        <v>2</v>
      </c>
      <c r="F292" s="19" t="s">
        <v>10</v>
      </c>
      <c r="G292" s="20"/>
      <c r="H292" s="1" t="s">
        <v>55</v>
      </c>
      <c r="I292" s="1" t="str">
        <f t="shared" si="4"/>
        <v>X_Summary_Table$X_Labels[X_Summary_Table$X_Constraints=="X288"] &lt;- "X288: BAGOUE MILIEU 2 SEX 2 AGE 35_plus"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5">
      <c r="A293" t="s">
        <v>345</v>
      </c>
      <c r="B293" s="7">
        <v>10821</v>
      </c>
      <c r="C293" s="8" t="s">
        <v>30</v>
      </c>
      <c r="D293" s="9">
        <v>1</v>
      </c>
      <c r="E293" s="9">
        <v>1</v>
      </c>
      <c r="F293" s="10" t="s">
        <v>8</v>
      </c>
      <c r="G293" s="11"/>
      <c r="H293" s="1" t="s">
        <v>55</v>
      </c>
      <c r="I293" s="1" t="str">
        <f t="shared" si="4"/>
        <v>X_Summary_Table$X_Labels[X_Summary_Table$X_Constraints=="X289"] &lt;- "X289: BELIER MILIEU 1 SEX 1 AGE 0_14"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5">
      <c r="A294" t="s">
        <v>346</v>
      </c>
      <c r="B294" s="7">
        <v>10821</v>
      </c>
      <c r="C294" s="8" t="s">
        <v>30</v>
      </c>
      <c r="D294" s="9">
        <v>1</v>
      </c>
      <c r="E294" s="9">
        <v>1</v>
      </c>
      <c r="F294" s="10" t="s">
        <v>9</v>
      </c>
      <c r="G294" s="11"/>
      <c r="H294" s="1" t="s">
        <v>55</v>
      </c>
      <c r="I294" s="1" t="str">
        <f t="shared" si="4"/>
        <v>X_Summary_Table$X_Labels[X_Summary_Table$X_Constraints=="X290"] &lt;- "X290: BELIER MILIEU 1 SEX 1 AGE 15_34"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5">
      <c r="A295" t="s">
        <v>347</v>
      </c>
      <c r="B295" s="7">
        <v>10821</v>
      </c>
      <c r="C295" s="8" t="s">
        <v>30</v>
      </c>
      <c r="D295" s="9">
        <v>1</v>
      </c>
      <c r="E295" s="9">
        <v>1</v>
      </c>
      <c r="F295" s="10" t="s">
        <v>10</v>
      </c>
      <c r="G295" s="11"/>
      <c r="H295" s="1" t="s">
        <v>55</v>
      </c>
      <c r="I295" s="1" t="str">
        <f t="shared" si="4"/>
        <v>X_Summary_Table$X_Labels[X_Summary_Table$X_Constraints=="X291"] &lt;- "X291: BELIER MILIEU 1 SEX 1 AGE 35_plus"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5">
      <c r="A296" t="s">
        <v>348</v>
      </c>
      <c r="B296" s="7">
        <v>10821</v>
      </c>
      <c r="C296" s="8" t="s">
        <v>30</v>
      </c>
      <c r="D296" s="12">
        <v>1</v>
      </c>
      <c r="E296" s="12">
        <v>2</v>
      </c>
      <c r="F296" s="13" t="s">
        <v>8</v>
      </c>
      <c r="G296" s="14"/>
      <c r="H296" s="1" t="s">
        <v>55</v>
      </c>
      <c r="I296" s="1" t="str">
        <f t="shared" si="4"/>
        <v>X_Summary_Table$X_Labels[X_Summary_Table$X_Constraints=="X292"] &lt;- "X292: BELIER MILIEU 2 SEX 1 AGE 0_14"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5">
      <c r="A297" t="s">
        <v>349</v>
      </c>
      <c r="B297" s="7">
        <v>10821</v>
      </c>
      <c r="C297" s="8" t="s">
        <v>30</v>
      </c>
      <c r="D297" s="12">
        <v>1</v>
      </c>
      <c r="E297" s="12">
        <v>2</v>
      </c>
      <c r="F297" s="13" t="s">
        <v>9</v>
      </c>
      <c r="G297" s="14"/>
      <c r="H297" s="1" t="s">
        <v>55</v>
      </c>
      <c r="I297" s="1" t="str">
        <f t="shared" si="4"/>
        <v>X_Summary_Table$X_Labels[X_Summary_Table$X_Constraints=="X293"] &lt;- "X293: BELIER MILIEU 2 SEX 1 AGE 15_34"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5">
      <c r="A298" t="s">
        <v>350</v>
      </c>
      <c r="B298" s="7">
        <v>10821</v>
      </c>
      <c r="C298" s="8" t="s">
        <v>30</v>
      </c>
      <c r="D298" s="12">
        <v>1</v>
      </c>
      <c r="E298" s="12">
        <v>2</v>
      </c>
      <c r="F298" s="13" t="s">
        <v>10</v>
      </c>
      <c r="G298" s="14"/>
      <c r="H298" s="1" t="s">
        <v>55</v>
      </c>
      <c r="I298" s="1" t="str">
        <f t="shared" si="4"/>
        <v>X_Summary_Table$X_Labels[X_Summary_Table$X_Constraints=="X294"] &lt;- "X294: BELIER MILIEU 2 SEX 1 AGE 35_plus"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5">
      <c r="A299" t="s">
        <v>351</v>
      </c>
      <c r="B299" s="7">
        <v>10821</v>
      </c>
      <c r="C299" s="8" t="s">
        <v>30</v>
      </c>
      <c r="D299" s="15">
        <v>2</v>
      </c>
      <c r="E299" s="15">
        <v>1</v>
      </c>
      <c r="F299" s="16" t="s">
        <v>8</v>
      </c>
      <c r="G299" s="17"/>
      <c r="H299" s="1" t="s">
        <v>55</v>
      </c>
      <c r="I299" s="1" t="str">
        <f t="shared" si="4"/>
        <v>X_Summary_Table$X_Labels[X_Summary_Table$X_Constraints=="X295"] &lt;- "X295: BELIER MILIEU 1 SEX 2 AGE 0_14"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5">
      <c r="A300" t="s">
        <v>352</v>
      </c>
      <c r="B300" s="7">
        <v>10821</v>
      </c>
      <c r="C300" s="8" t="s">
        <v>30</v>
      </c>
      <c r="D300" s="15">
        <v>2</v>
      </c>
      <c r="E300" s="15">
        <v>1</v>
      </c>
      <c r="F300" s="16" t="s">
        <v>9</v>
      </c>
      <c r="G300" s="17"/>
      <c r="H300" s="1" t="s">
        <v>55</v>
      </c>
      <c r="I300" s="1" t="str">
        <f t="shared" si="4"/>
        <v>X_Summary_Table$X_Labels[X_Summary_Table$X_Constraints=="X296"] &lt;- "X296: BELIER MILIEU 1 SEX 2 AGE 15_34"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5">
      <c r="A301" t="s">
        <v>353</v>
      </c>
      <c r="B301" s="7">
        <v>10821</v>
      </c>
      <c r="C301" s="8" t="s">
        <v>30</v>
      </c>
      <c r="D301" s="15">
        <v>2</v>
      </c>
      <c r="E301" s="15">
        <v>1</v>
      </c>
      <c r="F301" s="16" t="s">
        <v>10</v>
      </c>
      <c r="G301" s="17"/>
      <c r="H301" s="1" t="s">
        <v>55</v>
      </c>
      <c r="I301" s="1" t="str">
        <f t="shared" si="4"/>
        <v>X_Summary_Table$X_Labels[X_Summary_Table$X_Constraints=="X297"] &lt;- "X297: BELIER MILIEU 1 SEX 2 AGE 35_plus"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5">
      <c r="A302" t="s">
        <v>354</v>
      </c>
      <c r="B302" s="7">
        <v>10821</v>
      </c>
      <c r="C302" s="8" t="s">
        <v>30</v>
      </c>
      <c r="D302" s="18">
        <v>2</v>
      </c>
      <c r="E302" s="18">
        <v>2</v>
      </c>
      <c r="F302" s="19" t="s">
        <v>8</v>
      </c>
      <c r="G302" s="20"/>
      <c r="H302" s="1" t="s">
        <v>55</v>
      </c>
      <c r="I302" s="1" t="str">
        <f t="shared" si="4"/>
        <v>X_Summary_Table$X_Labels[X_Summary_Table$X_Constraints=="X298"] &lt;- "X298: BELIER MILIEU 2 SEX 2 AGE 0_14"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5">
      <c r="A303" t="s">
        <v>355</v>
      </c>
      <c r="B303" s="7">
        <v>10821</v>
      </c>
      <c r="C303" s="8" t="s">
        <v>30</v>
      </c>
      <c r="D303" s="18">
        <v>2</v>
      </c>
      <c r="E303" s="18">
        <v>2</v>
      </c>
      <c r="F303" s="19" t="s">
        <v>9</v>
      </c>
      <c r="G303" s="20"/>
      <c r="H303" s="1" t="s">
        <v>55</v>
      </c>
      <c r="I303" s="1" t="str">
        <f t="shared" si="4"/>
        <v>X_Summary_Table$X_Labels[X_Summary_Table$X_Constraints=="X299"] &lt;- "X299: BELIER MILIEU 2 SEX 2 AGE 15_34"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5">
      <c r="A304" t="s">
        <v>356</v>
      </c>
      <c r="B304" s="7">
        <v>10821</v>
      </c>
      <c r="C304" s="8" t="s">
        <v>30</v>
      </c>
      <c r="D304" s="18">
        <v>2</v>
      </c>
      <c r="E304" s="18">
        <v>2</v>
      </c>
      <c r="F304" s="19" t="s">
        <v>10</v>
      </c>
      <c r="G304" s="20"/>
      <c r="H304" s="1" t="s">
        <v>55</v>
      </c>
      <c r="I304" s="1" t="str">
        <f t="shared" si="4"/>
        <v>X_Summary_Table$X_Labels[X_Summary_Table$X_Constraints=="X300"] &lt;- "X300: BELIER MILIEU 2 SEX 2 AGE 35_plus"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5">
      <c r="A305" t="s">
        <v>357</v>
      </c>
      <c r="B305" s="7">
        <v>11322</v>
      </c>
      <c r="C305" s="8" t="s">
        <v>31</v>
      </c>
      <c r="D305" s="9">
        <v>1</v>
      </c>
      <c r="E305" s="9">
        <v>1</v>
      </c>
      <c r="F305" s="10" t="s">
        <v>8</v>
      </c>
      <c r="G305" s="11"/>
      <c r="H305" s="1" t="s">
        <v>55</v>
      </c>
      <c r="I305" s="1" t="str">
        <f t="shared" si="4"/>
        <v>X_Summary_Table$X_Labels[X_Summary_Table$X_Constraints=="X301"] &lt;- "X301: BERE MILIEU 1 SEX 1 AGE 0_14"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5">
      <c r="A306" t="s">
        <v>358</v>
      </c>
      <c r="B306" s="7">
        <v>11322</v>
      </c>
      <c r="C306" s="8" t="s">
        <v>31</v>
      </c>
      <c r="D306" s="9">
        <v>1</v>
      </c>
      <c r="E306" s="9">
        <v>1</v>
      </c>
      <c r="F306" s="10" t="s">
        <v>9</v>
      </c>
      <c r="G306" s="11"/>
      <c r="H306" s="1" t="s">
        <v>55</v>
      </c>
      <c r="I306" s="1" t="str">
        <f t="shared" si="4"/>
        <v>X_Summary_Table$X_Labels[X_Summary_Table$X_Constraints=="X302"] &lt;- "X302: BERE MILIEU 1 SEX 1 AGE 15_34"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5">
      <c r="A307" t="s">
        <v>359</v>
      </c>
      <c r="B307" s="7">
        <v>11322</v>
      </c>
      <c r="C307" s="8" t="s">
        <v>31</v>
      </c>
      <c r="D307" s="9">
        <v>1</v>
      </c>
      <c r="E307" s="9">
        <v>1</v>
      </c>
      <c r="F307" s="10" t="s">
        <v>10</v>
      </c>
      <c r="G307" s="11"/>
      <c r="H307" s="1" t="s">
        <v>55</v>
      </c>
      <c r="I307" s="1" t="str">
        <f t="shared" si="4"/>
        <v>X_Summary_Table$X_Labels[X_Summary_Table$X_Constraints=="X303"] &lt;- "X303: BERE MILIEU 1 SEX 1 AGE 35_plus"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5">
      <c r="A308" t="s">
        <v>360</v>
      </c>
      <c r="B308" s="7">
        <v>11322</v>
      </c>
      <c r="C308" s="8" t="s">
        <v>31</v>
      </c>
      <c r="D308" s="12">
        <v>1</v>
      </c>
      <c r="E308" s="12">
        <v>2</v>
      </c>
      <c r="F308" s="13" t="s">
        <v>8</v>
      </c>
      <c r="G308" s="14"/>
      <c r="H308" s="1" t="s">
        <v>55</v>
      </c>
      <c r="I308" s="1" t="str">
        <f t="shared" si="4"/>
        <v>X_Summary_Table$X_Labels[X_Summary_Table$X_Constraints=="X304"] &lt;- "X304: BERE MILIEU 2 SEX 1 AGE 0_14"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5">
      <c r="A309" t="s">
        <v>361</v>
      </c>
      <c r="B309" s="7">
        <v>11322</v>
      </c>
      <c r="C309" s="8" t="s">
        <v>31</v>
      </c>
      <c r="D309" s="12">
        <v>1</v>
      </c>
      <c r="E309" s="12">
        <v>2</v>
      </c>
      <c r="F309" s="13" t="s">
        <v>9</v>
      </c>
      <c r="G309" s="14"/>
      <c r="H309" s="1" t="s">
        <v>55</v>
      </c>
      <c r="I309" s="1" t="str">
        <f t="shared" si="4"/>
        <v>X_Summary_Table$X_Labels[X_Summary_Table$X_Constraints=="X305"] &lt;- "X305: BERE MILIEU 2 SEX 1 AGE 15_34"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5">
      <c r="A310" t="s">
        <v>362</v>
      </c>
      <c r="B310" s="7">
        <v>11322</v>
      </c>
      <c r="C310" s="8" t="s">
        <v>31</v>
      </c>
      <c r="D310" s="12">
        <v>1</v>
      </c>
      <c r="E310" s="12">
        <v>2</v>
      </c>
      <c r="F310" s="13" t="s">
        <v>10</v>
      </c>
      <c r="G310" s="14"/>
      <c r="H310" s="1" t="s">
        <v>55</v>
      </c>
      <c r="I310" s="1" t="str">
        <f t="shared" ref="I310:I373" si="5">"X_Summary_Table$X_Labels[X_Summary_Table$X_Constraints==" &amp; H310 &amp; A310 &amp; H310 &amp; "] &lt;- " &amp; H310 &amp; A310 &amp; ": " &amp; C310 &amp; " MILIEU " &amp; E310 &amp;" SEX " &amp; D310 &amp;" AGE "&amp; F310 &amp; H310</f>
        <v>X_Summary_Table$X_Labels[X_Summary_Table$X_Constraints=="X306"] &lt;- "X306: BERE MILIEU 2 SEX 1 AGE 35_plus"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5">
      <c r="A311" t="s">
        <v>363</v>
      </c>
      <c r="B311" s="7">
        <v>11322</v>
      </c>
      <c r="C311" s="8" t="s">
        <v>31</v>
      </c>
      <c r="D311" s="15">
        <v>2</v>
      </c>
      <c r="E311" s="15">
        <v>1</v>
      </c>
      <c r="F311" s="16" t="s">
        <v>8</v>
      </c>
      <c r="G311" s="17"/>
      <c r="H311" s="1" t="s">
        <v>55</v>
      </c>
      <c r="I311" s="1" t="str">
        <f t="shared" si="5"/>
        <v>X_Summary_Table$X_Labels[X_Summary_Table$X_Constraints=="X307"] &lt;- "X307: BERE MILIEU 1 SEX 2 AGE 0_14"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5">
      <c r="A312" t="s">
        <v>364</v>
      </c>
      <c r="B312" s="7">
        <v>11322</v>
      </c>
      <c r="C312" s="8" t="s">
        <v>31</v>
      </c>
      <c r="D312" s="15">
        <v>2</v>
      </c>
      <c r="E312" s="15">
        <v>1</v>
      </c>
      <c r="F312" s="16" t="s">
        <v>9</v>
      </c>
      <c r="G312" s="17"/>
      <c r="H312" s="1" t="s">
        <v>55</v>
      </c>
      <c r="I312" s="1" t="str">
        <f t="shared" si="5"/>
        <v>X_Summary_Table$X_Labels[X_Summary_Table$X_Constraints=="X308"] &lt;- "X308: BERE MILIEU 1 SEX 2 AGE 15_34"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5">
      <c r="A313" t="s">
        <v>365</v>
      </c>
      <c r="B313" s="7">
        <v>11322</v>
      </c>
      <c r="C313" s="8" t="s">
        <v>31</v>
      </c>
      <c r="D313" s="15">
        <v>2</v>
      </c>
      <c r="E313" s="15">
        <v>1</v>
      </c>
      <c r="F313" s="16" t="s">
        <v>10</v>
      </c>
      <c r="G313" s="17"/>
      <c r="H313" s="1" t="s">
        <v>55</v>
      </c>
      <c r="I313" s="1" t="str">
        <f t="shared" si="5"/>
        <v>X_Summary_Table$X_Labels[X_Summary_Table$X_Constraints=="X309"] &lt;- "X309: BERE MILIEU 1 SEX 2 AGE 35_plus"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5">
      <c r="A314" t="s">
        <v>366</v>
      </c>
      <c r="B314" s="7">
        <v>11322</v>
      </c>
      <c r="C314" s="8" t="s">
        <v>31</v>
      </c>
      <c r="D314" s="18">
        <v>2</v>
      </c>
      <c r="E314" s="18">
        <v>2</v>
      </c>
      <c r="F314" s="19" t="s">
        <v>8</v>
      </c>
      <c r="G314" s="20"/>
      <c r="H314" s="1" t="s">
        <v>55</v>
      </c>
      <c r="I314" s="1" t="str">
        <f t="shared" si="5"/>
        <v>X_Summary_Table$X_Labels[X_Summary_Table$X_Constraints=="X310"] &lt;- "X310: BERE MILIEU 2 SEX 2 AGE 0_14"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5">
      <c r="A315" t="s">
        <v>367</v>
      </c>
      <c r="B315" s="7">
        <v>11322</v>
      </c>
      <c r="C315" s="8" t="s">
        <v>31</v>
      </c>
      <c r="D315" s="18">
        <v>2</v>
      </c>
      <c r="E315" s="18">
        <v>2</v>
      </c>
      <c r="F315" s="19" t="s">
        <v>9</v>
      </c>
      <c r="G315" s="20"/>
      <c r="H315" s="1" t="s">
        <v>55</v>
      </c>
      <c r="I315" s="1" t="str">
        <f t="shared" si="5"/>
        <v>X_Summary_Table$X_Labels[X_Summary_Table$X_Constraints=="X311"] &lt;- "X311: BERE MILIEU 2 SEX 2 AGE 15_34"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5">
      <c r="A316" t="s">
        <v>368</v>
      </c>
      <c r="B316" s="7">
        <v>11322</v>
      </c>
      <c r="C316" s="8" t="s">
        <v>31</v>
      </c>
      <c r="D316" s="18">
        <v>2</v>
      </c>
      <c r="E316" s="18">
        <v>2</v>
      </c>
      <c r="F316" s="19" t="s">
        <v>10</v>
      </c>
      <c r="G316" s="20"/>
      <c r="H316" s="1" t="s">
        <v>55</v>
      </c>
      <c r="I316" s="1" t="str">
        <f t="shared" si="5"/>
        <v>X_Summary_Table$X_Labels[X_Summary_Table$X_Constraints=="X312"] &lt;- "X312: BERE MILIEU 2 SEX 2 AGE 35_plus"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5">
      <c r="A317" t="s">
        <v>369</v>
      </c>
      <c r="B317" s="7">
        <v>11423</v>
      </c>
      <c r="C317" s="8" t="s">
        <v>32</v>
      </c>
      <c r="D317" s="9">
        <v>1</v>
      </c>
      <c r="E317" s="9">
        <v>1</v>
      </c>
      <c r="F317" s="10" t="s">
        <v>8</v>
      </c>
      <c r="G317" s="11"/>
      <c r="H317" s="1" t="s">
        <v>55</v>
      </c>
      <c r="I317" s="1" t="str">
        <f t="shared" si="5"/>
        <v>X_Summary_Table$X_Labels[X_Summary_Table$X_Constraints=="X313"] &lt;- "X313: BOUNKANI MILIEU 1 SEX 1 AGE 0_14"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5">
      <c r="A318" t="s">
        <v>370</v>
      </c>
      <c r="B318" s="7">
        <v>11423</v>
      </c>
      <c r="C318" s="8" t="s">
        <v>32</v>
      </c>
      <c r="D318" s="9">
        <v>1</v>
      </c>
      <c r="E318" s="9">
        <v>1</v>
      </c>
      <c r="F318" s="10" t="s">
        <v>9</v>
      </c>
      <c r="G318" s="11"/>
      <c r="H318" s="1" t="s">
        <v>55</v>
      </c>
      <c r="I318" s="1" t="str">
        <f t="shared" si="5"/>
        <v>X_Summary_Table$X_Labels[X_Summary_Table$X_Constraints=="X314"] &lt;- "X314: BOUNKANI MILIEU 1 SEX 1 AGE 15_34"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5">
      <c r="A319" t="s">
        <v>371</v>
      </c>
      <c r="B319" s="7">
        <v>11423</v>
      </c>
      <c r="C319" s="8" t="s">
        <v>32</v>
      </c>
      <c r="D319" s="9">
        <v>1</v>
      </c>
      <c r="E319" s="9">
        <v>1</v>
      </c>
      <c r="F319" s="10" t="s">
        <v>10</v>
      </c>
      <c r="G319" s="11"/>
      <c r="H319" s="1" t="s">
        <v>55</v>
      </c>
      <c r="I319" s="1" t="str">
        <f t="shared" si="5"/>
        <v>X_Summary_Table$X_Labels[X_Summary_Table$X_Constraints=="X315"] &lt;- "X315: BOUNKANI MILIEU 1 SEX 1 AGE 35_plus"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5">
      <c r="A320" t="s">
        <v>372</v>
      </c>
      <c r="B320" s="7">
        <v>11423</v>
      </c>
      <c r="C320" s="8" t="s">
        <v>32</v>
      </c>
      <c r="D320" s="12">
        <v>1</v>
      </c>
      <c r="E320" s="12">
        <v>2</v>
      </c>
      <c r="F320" s="13" t="s">
        <v>8</v>
      </c>
      <c r="G320" s="14"/>
      <c r="H320" s="1" t="s">
        <v>55</v>
      </c>
      <c r="I320" s="1" t="str">
        <f t="shared" si="5"/>
        <v>X_Summary_Table$X_Labels[X_Summary_Table$X_Constraints=="X316"] &lt;- "X316: BOUNKANI MILIEU 2 SEX 1 AGE 0_14"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5">
      <c r="A321" t="s">
        <v>373</v>
      </c>
      <c r="B321" s="7">
        <v>11423</v>
      </c>
      <c r="C321" s="8" t="s">
        <v>32</v>
      </c>
      <c r="D321" s="12">
        <v>1</v>
      </c>
      <c r="E321" s="12">
        <v>2</v>
      </c>
      <c r="F321" s="13" t="s">
        <v>9</v>
      </c>
      <c r="G321" s="14"/>
      <c r="H321" s="1" t="s">
        <v>55</v>
      </c>
      <c r="I321" s="1" t="str">
        <f t="shared" si="5"/>
        <v>X_Summary_Table$X_Labels[X_Summary_Table$X_Constraints=="X317"] &lt;- "X317: BOUNKANI MILIEU 2 SEX 1 AGE 15_34"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5">
      <c r="A322" t="s">
        <v>374</v>
      </c>
      <c r="B322" s="7">
        <v>11423</v>
      </c>
      <c r="C322" s="8" t="s">
        <v>32</v>
      </c>
      <c r="D322" s="12">
        <v>1</v>
      </c>
      <c r="E322" s="12">
        <v>2</v>
      </c>
      <c r="F322" s="13" t="s">
        <v>10</v>
      </c>
      <c r="G322" s="14"/>
      <c r="H322" s="1" t="s">
        <v>55</v>
      </c>
      <c r="I322" s="1" t="str">
        <f t="shared" si="5"/>
        <v>X_Summary_Table$X_Labels[X_Summary_Table$X_Constraints=="X318"] &lt;- "X318: BOUNKANI MILIEU 2 SEX 1 AGE 35_plus"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5">
      <c r="A323" t="s">
        <v>375</v>
      </c>
      <c r="B323" s="7">
        <v>11423</v>
      </c>
      <c r="C323" s="8" t="s">
        <v>32</v>
      </c>
      <c r="D323" s="15">
        <v>2</v>
      </c>
      <c r="E323" s="15">
        <v>1</v>
      </c>
      <c r="F323" s="16" t="s">
        <v>8</v>
      </c>
      <c r="G323" s="17"/>
      <c r="H323" s="1" t="s">
        <v>55</v>
      </c>
      <c r="I323" s="1" t="str">
        <f t="shared" si="5"/>
        <v>X_Summary_Table$X_Labels[X_Summary_Table$X_Constraints=="X319"] &lt;- "X319: BOUNKANI MILIEU 1 SEX 2 AGE 0_14"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5">
      <c r="A324" t="s">
        <v>376</v>
      </c>
      <c r="B324" s="7">
        <v>11423</v>
      </c>
      <c r="C324" s="8" t="s">
        <v>32</v>
      </c>
      <c r="D324" s="15">
        <v>2</v>
      </c>
      <c r="E324" s="15">
        <v>1</v>
      </c>
      <c r="F324" s="16" t="s">
        <v>9</v>
      </c>
      <c r="G324" s="17"/>
      <c r="H324" s="1" t="s">
        <v>55</v>
      </c>
      <c r="I324" s="1" t="str">
        <f t="shared" si="5"/>
        <v>X_Summary_Table$X_Labels[X_Summary_Table$X_Constraints=="X320"] &lt;- "X320: BOUNKANI MILIEU 1 SEX 2 AGE 15_34"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5">
      <c r="A325" t="s">
        <v>377</v>
      </c>
      <c r="B325" s="7">
        <v>11423</v>
      </c>
      <c r="C325" s="8" t="s">
        <v>32</v>
      </c>
      <c r="D325" s="15">
        <v>2</v>
      </c>
      <c r="E325" s="15">
        <v>1</v>
      </c>
      <c r="F325" s="16" t="s">
        <v>10</v>
      </c>
      <c r="G325" s="17"/>
      <c r="H325" s="1" t="s">
        <v>55</v>
      </c>
      <c r="I325" s="1" t="str">
        <f t="shared" si="5"/>
        <v>X_Summary_Table$X_Labels[X_Summary_Table$X_Constraints=="X321"] &lt;- "X321: BOUNKANI MILIEU 1 SEX 2 AGE 35_plus"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5">
      <c r="A326" t="s">
        <v>378</v>
      </c>
      <c r="B326" s="7">
        <v>11423</v>
      </c>
      <c r="C326" s="8" t="s">
        <v>32</v>
      </c>
      <c r="D326" s="18">
        <v>2</v>
      </c>
      <c r="E326" s="18">
        <v>2</v>
      </c>
      <c r="F326" s="19" t="s">
        <v>8</v>
      </c>
      <c r="G326" s="20"/>
      <c r="H326" s="1" t="s">
        <v>55</v>
      </c>
      <c r="I326" s="1" t="str">
        <f t="shared" si="5"/>
        <v>X_Summary_Table$X_Labels[X_Summary_Table$X_Constraints=="X322"] &lt;- "X322: BOUNKANI MILIEU 2 SEX 2 AGE 0_14"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5">
      <c r="A327" t="s">
        <v>379</v>
      </c>
      <c r="B327" s="7">
        <v>11423</v>
      </c>
      <c r="C327" s="8" t="s">
        <v>32</v>
      </c>
      <c r="D327" s="18">
        <v>2</v>
      </c>
      <c r="E327" s="18">
        <v>2</v>
      </c>
      <c r="F327" s="19" t="s">
        <v>9</v>
      </c>
      <c r="G327" s="20"/>
      <c r="H327" s="1" t="s">
        <v>55</v>
      </c>
      <c r="I327" s="1" t="str">
        <f t="shared" si="5"/>
        <v>X_Summary_Table$X_Labels[X_Summary_Table$X_Constraints=="X323"] &lt;- "X323: BOUNKANI MILIEU 2 SEX 2 AGE 15_34"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5">
      <c r="A328" t="s">
        <v>380</v>
      </c>
      <c r="B328" s="7">
        <v>11423</v>
      </c>
      <c r="C328" s="8" t="s">
        <v>32</v>
      </c>
      <c r="D328" s="18">
        <v>2</v>
      </c>
      <c r="E328" s="18">
        <v>2</v>
      </c>
      <c r="F328" s="19" t="s">
        <v>10</v>
      </c>
      <c r="G328" s="20"/>
      <c r="H328" s="1" t="s">
        <v>55</v>
      </c>
      <c r="I328" s="1" t="str">
        <f t="shared" si="5"/>
        <v>X_Summary_Table$X_Labels[X_Summary_Table$X_Constraints=="X324"] &lt;- "X324: BOUNKANI MILIEU 2 SEX 2 AGE 35_plus"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5">
      <c r="A329" t="s">
        <v>381</v>
      </c>
      <c r="B329" s="7">
        <v>10524</v>
      </c>
      <c r="C329" s="8" t="s">
        <v>33</v>
      </c>
      <c r="D329" s="9">
        <v>1</v>
      </c>
      <c r="E329" s="9">
        <v>1</v>
      </c>
      <c r="F329" s="10" t="s">
        <v>8</v>
      </c>
      <c r="G329" s="11"/>
      <c r="H329" s="1" t="s">
        <v>55</v>
      </c>
      <c r="I329" s="1" t="str">
        <f t="shared" si="5"/>
        <v>X_Summary_Table$X_Labels[X_Summary_Table$X_Constraints=="X325"] &lt;- "X325: FOLON MILIEU 1 SEX 1 AGE 0_14"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5">
      <c r="A330" t="s">
        <v>382</v>
      </c>
      <c r="B330" s="7">
        <v>10524</v>
      </c>
      <c r="C330" s="8" t="s">
        <v>33</v>
      </c>
      <c r="D330" s="9">
        <v>1</v>
      </c>
      <c r="E330" s="9">
        <v>1</v>
      </c>
      <c r="F330" s="10" t="s">
        <v>9</v>
      </c>
      <c r="G330" s="11"/>
      <c r="H330" s="1" t="s">
        <v>55</v>
      </c>
      <c r="I330" s="1" t="str">
        <f t="shared" si="5"/>
        <v>X_Summary_Table$X_Labels[X_Summary_Table$X_Constraints=="X326"] &lt;- "X326: FOLON MILIEU 1 SEX 1 AGE 15_34"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5">
      <c r="A331" t="s">
        <v>383</v>
      </c>
      <c r="B331" s="7">
        <v>10524</v>
      </c>
      <c r="C331" s="8" t="s">
        <v>33</v>
      </c>
      <c r="D331" s="9">
        <v>1</v>
      </c>
      <c r="E331" s="9">
        <v>1</v>
      </c>
      <c r="F331" s="10" t="s">
        <v>10</v>
      </c>
      <c r="G331" s="11"/>
      <c r="H331" s="1" t="s">
        <v>55</v>
      </c>
      <c r="I331" s="1" t="str">
        <f t="shared" si="5"/>
        <v>X_Summary_Table$X_Labels[X_Summary_Table$X_Constraints=="X327"] &lt;- "X327: FOLON MILIEU 1 SEX 1 AGE 35_plus"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5">
      <c r="A332" t="s">
        <v>384</v>
      </c>
      <c r="B332" s="7">
        <v>10524</v>
      </c>
      <c r="C332" s="8" t="s">
        <v>33</v>
      </c>
      <c r="D332" s="12">
        <v>1</v>
      </c>
      <c r="E332" s="12">
        <v>2</v>
      </c>
      <c r="F332" s="13" t="s">
        <v>8</v>
      </c>
      <c r="G332" s="14"/>
      <c r="H332" s="1" t="s">
        <v>55</v>
      </c>
      <c r="I332" s="1" t="str">
        <f t="shared" si="5"/>
        <v>X_Summary_Table$X_Labels[X_Summary_Table$X_Constraints=="X328"] &lt;- "X328: FOLON MILIEU 2 SEX 1 AGE 0_14"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5">
      <c r="A333" t="s">
        <v>385</v>
      </c>
      <c r="B333" s="7">
        <v>10524</v>
      </c>
      <c r="C333" s="8" t="s">
        <v>33</v>
      </c>
      <c r="D333" s="12">
        <v>1</v>
      </c>
      <c r="E333" s="12">
        <v>2</v>
      </c>
      <c r="F333" s="13" t="s">
        <v>9</v>
      </c>
      <c r="G333" s="14"/>
      <c r="H333" s="1" t="s">
        <v>55</v>
      </c>
      <c r="I333" s="1" t="str">
        <f t="shared" si="5"/>
        <v>X_Summary_Table$X_Labels[X_Summary_Table$X_Constraints=="X329"] &lt;- "X329: FOLON MILIEU 2 SEX 1 AGE 15_34"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5">
      <c r="A334" t="s">
        <v>386</v>
      </c>
      <c r="B334" s="7">
        <v>10524</v>
      </c>
      <c r="C334" s="8" t="s">
        <v>33</v>
      </c>
      <c r="D334" s="12">
        <v>1</v>
      </c>
      <c r="E334" s="12">
        <v>2</v>
      </c>
      <c r="F334" s="13" t="s">
        <v>10</v>
      </c>
      <c r="G334" s="14"/>
      <c r="H334" s="1" t="s">
        <v>55</v>
      </c>
      <c r="I334" s="1" t="str">
        <f t="shared" si="5"/>
        <v>X_Summary_Table$X_Labels[X_Summary_Table$X_Constraints=="X330"] &lt;- "X330: FOLON MILIEU 2 SEX 1 AGE 35_plus"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5">
      <c r="A335" t="s">
        <v>387</v>
      </c>
      <c r="B335" s="7">
        <v>10524</v>
      </c>
      <c r="C335" s="8" t="s">
        <v>33</v>
      </c>
      <c r="D335" s="15">
        <v>2</v>
      </c>
      <c r="E335" s="15">
        <v>1</v>
      </c>
      <c r="F335" s="16" t="s">
        <v>8</v>
      </c>
      <c r="G335" s="17"/>
      <c r="H335" s="1" t="s">
        <v>55</v>
      </c>
      <c r="I335" s="1" t="str">
        <f t="shared" si="5"/>
        <v>X_Summary_Table$X_Labels[X_Summary_Table$X_Constraints=="X331"] &lt;- "X331: FOLON MILIEU 1 SEX 2 AGE 0_14"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5">
      <c r="A336" t="s">
        <v>388</v>
      </c>
      <c r="B336" s="7">
        <v>10524</v>
      </c>
      <c r="C336" s="8" t="s">
        <v>33</v>
      </c>
      <c r="D336" s="15">
        <v>2</v>
      </c>
      <c r="E336" s="15">
        <v>1</v>
      </c>
      <c r="F336" s="16" t="s">
        <v>9</v>
      </c>
      <c r="G336" s="17"/>
      <c r="H336" s="1" t="s">
        <v>55</v>
      </c>
      <c r="I336" s="1" t="str">
        <f t="shared" si="5"/>
        <v>X_Summary_Table$X_Labels[X_Summary_Table$X_Constraints=="X332"] &lt;- "X332: FOLON MILIEU 1 SEX 2 AGE 15_34"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5">
      <c r="A337" t="s">
        <v>389</v>
      </c>
      <c r="B337" s="7">
        <v>10524</v>
      </c>
      <c r="C337" s="8" t="s">
        <v>33</v>
      </c>
      <c r="D337" s="15">
        <v>2</v>
      </c>
      <c r="E337" s="15">
        <v>1</v>
      </c>
      <c r="F337" s="16" t="s">
        <v>10</v>
      </c>
      <c r="G337" s="17"/>
      <c r="H337" s="1" t="s">
        <v>55</v>
      </c>
      <c r="I337" s="1" t="str">
        <f t="shared" si="5"/>
        <v>X_Summary_Table$X_Labels[X_Summary_Table$X_Constraints=="X333"] &lt;- "X333: FOLON MILIEU 1 SEX 2 AGE 35_plus"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5">
      <c r="A338" t="s">
        <v>390</v>
      </c>
      <c r="B338" s="7">
        <v>10524</v>
      </c>
      <c r="C338" s="8" t="s">
        <v>33</v>
      </c>
      <c r="D338" s="18">
        <v>2</v>
      </c>
      <c r="E338" s="18">
        <v>2</v>
      </c>
      <c r="F338" s="19" t="s">
        <v>8</v>
      </c>
      <c r="G338" s="20"/>
      <c r="H338" s="1" t="s">
        <v>55</v>
      </c>
      <c r="I338" s="1" t="str">
        <f t="shared" si="5"/>
        <v>X_Summary_Table$X_Labels[X_Summary_Table$X_Constraints=="X334"] &lt;- "X334: FOLON MILIEU 2 SEX 2 AGE 0_14"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5">
      <c r="A339" t="s">
        <v>391</v>
      </c>
      <c r="B339" s="7">
        <v>10524</v>
      </c>
      <c r="C339" s="8" t="s">
        <v>33</v>
      </c>
      <c r="D339" s="18">
        <v>2</v>
      </c>
      <c r="E339" s="18">
        <v>2</v>
      </c>
      <c r="F339" s="19" t="s">
        <v>9</v>
      </c>
      <c r="G339" s="20"/>
      <c r="H339" s="1" t="s">
        <v>55</v>
      </c>
      <c r="I339" s="1" t="str">
        <f t="shared" si="5"/>
        <v>X_Summary_Table$X_Labels[X_Summary_Table$X_Constraints=="X335"] &lt;- "X335: FOLON MILIEU 2 SEX 2 AGE 15_34"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5">
      <c r="A340" t="s">
        <v>392</v>
      </c>
      <c r="B340" s="7">
        <v>10524</v>
      </c>
      <c r="C340" s="8" t="s">
        <v>33</v>
      </c>
      <c r="D340" s="18">
        <v>2</v>
      </c>
      <c r="E340" s="18">
        <v>2</v>
      </c>
      <c r="F340" s="19" t="s">
        <v>10</v>
      </c>
      <c r="G340" s="20"/>
      <c r="H340" s="1" t="s">
        <v>55</v>
      </c>
      <c r="I340" s="1" t="str">
        <f t="shared" si="5"/>
        <v>X_Summary_Table$X_Labels[X_Summary_Table$X_Constraints=="X336"] &lt;- "X336: FOLON MILIEU 2 SEX 2 AGE 35_plus"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5">
      <c r="A341" t="s">
        <v>393</v>
      </c>
      <c r="B341" s="7">
        <v>10325</v>
      </c>
      <c r="C341" s="8" t="s">
        <v>34</v>
      </c>
      <c r="D341" s="9">
        <v>1</v>
      </c>
      <c r="E341" s="9">
        <v>1</v>
      </c>
      <c r="F341" s="10" t="s">
        <v>8</v>
      </c>
      <c r="G341" s="11"/>
      <c r="H341" s="1" t="s">
        <v>55</v>
      </c>
      <c r="I341" s="1" t="str">
        <f t="shared" si="5"/>
        <v>X_Summary_Table$X_Labels[X_Summary_Table$X_Constraints=="X337"] &lt;- "X337: GBOKLE MILIEU 1 SEX 1 AGE 0_14"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5">
      <c r="A342" t="s">
        <v>394</v>
      </c>
      <c r="B342" s="7">
        <v>10325</v>
      </c>
      <c r="C342" s="8" t="s">
        <v>34</v>
      </c>
      <c r="D342" s="9">
        <v>1</v>
      </c>
      <c r="E342" s="9">
        <v>1</v>
      </c>
      <c r="F342" s="10" t="s">
        <v>9</v>
      </c>
      <c r="G342" s="11"/>
      <c r="H342" s="1" t="s">
        <v>55</v>
      </c>
      <c r="I342" s="1" t="str">
        <f t="shared" si="5"/>
        <v>X_Summary_Table$X_Labels[X_Summary_Table$X_Constraints=="X338"] &lt;- "X338: GBOKLE MILIEU 1 SEX 1 AGE 15_34"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5">
      <c r="A343" t="s">
        <v>395</v>
      </c>
      <c r="B343" s="7">
        <v>10325</v>
      </c>
      <c r="C343" s="8" t="s">
        <v>34</v>
      </c>
      <c r="D343" s="9">
        <v>1</v>
      </c>
      <c r="E343" s="9">
        <v>1</v>
      </c>
      <c r="F343" s="10" t="s">
        <v>10</v>
      </c>
      <c r="G343" s="11"/>
      <c r="H343" s="1" t="s">
        <v>55</v>
      </c>
      <c r="I343" s="1" t="str">
        <f t="shared" si="5"/>
        <v>X_Summary_Table$X_Labels[X_Summary_Table$X_Constraints=="X339"] &lt;- "X339: GBOKLE MILIEU 1 SEX 1 AGE 35_plus"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5">
      <c r="A344" t="s">
        <v>396</v>
      </c>
      <c r="B344" s="7">
        <v>10325</v>
      </c>
      <c r="C344" s="8" t="s">
        <v>34</v>
      </c>
      <c r="D344" s="12">
        <v>1</v>
      </c>
      <c r="E344" s="12">
        <v>2</v>
      </c>
      <c r="F344" s="13" t="s">
        <v>8</v>
      </c>
      <c r="G344" s="14"/>
      <c r="H344" s="1" t="s">
        <v>55</v>
      </c>
      <c r="I344" s="1" t="str">
        <f t="shared" si="5"/>
        <v>X_Summary_Table$X_Labels[X_Summary_Table$X_Constraints=="X340"] &lt;- "X340: GBOKLE MILIEU 2 SEX 1 AGE 0_14"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5">
      <c r="A345" t="s">
        <v>397</v>
      </c>
      <c r="B345" s="7">
        <v>10325</v>
      </c>
      <c r="C345" s="8" t="s">
        <v>34</v>
      </c>
      <c r="D345" s="12">
        <v>1</v>
      </c>
      <c r="E345" s="12">
        <v>2</v>
      </c>
      <c r="F345" s="13" t="s">
        <v>9</v>
      </c>
      <c r="G345" s="14"/>
      <c r="H345" s="1" t="s">
        <v>55</v>
      </c>
      <c r="I345" s="1" t="str">
        <f t="shared" si="5"/>
        <v>X_Summary_Table$X_Labels[X_Summary_Table$X_Constraints=="X341"] &lt;- "X341: GBOKLE MILIEU 2 SEX 1 AGE 15_34"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5">
      <c r="A346" t="s">
        <v>398</v>
      </c>
      <c r="B346" s="7">
        <v>10325</v>
      </c>
      <c r="C346" s="8" t="s">
        <v>34</v>
      </c>
      <c r="D346" s="12">
        <v>1</v>
      </c>
      <c r="E346" s="12">
        <v>2</v>
      </c>
      <c r="F346" s="13" t="s">
        <v>10</v>
      </c>
      <c r="G346" s="14"/>
      <c r="H346" s="1" t="s">
        <v>55</v>
      </c>
      <c r="I346" s="1" t="str">
        <f t="shared" si="5"/>
        <v>X_Summary_Table$X_Labels[X_Summary_Table$X_Constraints=="X342"] &lt;- "X342: GBOKLE MILIEU 2 SEX 1 AGE 35_plus"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5">
      <c r="A347" t="s">
        <v>399</v>
      </c>
      <c r="B347" s="7">
        <v>10325</v>
      </c>
      <c r="C347" s="8" t="s">
        <v>34</v>
      </c>
      <c r="D347" s="15">
        <v>2</v>
      </c>
      <c r="E347" s="15">
        <v>1</v>
      </c>
      <c r="F347" s="16" t="s">
        <v>8</v>
      </c>
      <c r="G347" s="17"/>
      <c r="H347" s="1" t="s">
        <v>55</v>
      </c>
      <c r="I347" s="1" t="str">
        <f t="shared" si="5"/>
        <v>X_Summary_Table$X_Labels[X_Summary_Table$X_Constraints=="X343"] &lt;- "X343: GBOKLE MILIEU 1 SEX 2 AGE 0_14"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5">
      <c r="A348" t="s">
        <v>400</v>
      </c>
      <c r="B348" s="7">
        <v>10325</v>
      </c>
      <c r="C348" s="8" t="s">
        <v>34</v>
      </c>
      <c r="D348" s="15">
        <v>2</v>
      </c>
      <c r="E348" s="15">
        <v>1</v>
      </c>
      <c r="F348" s="16" t="s">
        <v>9</v>
      </c>
      <c r="G348" s="17"/>
      <c r="H348" s="1" t="s">
        <v>55</v>
      </c>
      <c r="I348" s="1" t="str">
        <f t="shared" si="5"/>
        <v>X_Summary_Table$X_Labels[X_Summary_Table$X_Constraints=="X344"] &lt;- "X344: GBOKLE MILIEU 1 SEX 2 AGE 15_34"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5">
      <c r="A349" t="s">
        <v>401</v>
      </c>
      <c r="B349" s="7">
        <v>10325</v>
      </c>
      <c r="C349" s="8" t="s">
        <v>34</v>
      </c>
      <c r="D349" s="15">
        <v>2</v>
      </c>
      <c r="E349" s="15">
        <v>1</v>
      </c>
      <c r="F349" s="16" t="s">
        <v>10</v>
      </c>
      <c r="G349" s="17"/>
      <c r="H349" s="1" t="s">
        <v>55</v>
      </c>
      <c r="I349" s="1" t="str">
        <f t="shared" si="5"/>
        <v>X_Summary_Table$X_Labels[X_Summary_Table$X_Constraints=="X345"] &lt;- "X345: GBOKLE MILIEU 1 SEX 2 AGE 35_plus"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5">
      <c r="A350" t="s">
        <v>402</v>
      </c>
      <c r="B350" s="7">
        <v>10325</v>
      </c>
      <c r="C350" s="8" t="s">
        <v>34</v>
      </c>
      <c r="D350" s="18">
        <v>2</v>
      </c>
      <c r="E350" s="18">
        <v>2</v>
      </c>
      <c r="F350" s="19" t="s">
        <v>8</v>
      </c>
      <c r="G350" s="20"/>
      <c r="H350" s="1" t="s">
        <v>55</v>
      </c>
      <c r="I350" s="1" t="str">
        <f t="shared" si="5"/>
        <v>X_Summary_Table$X_Labels[X_Summary_Table$X_Constraints=="X346"] &lt;- "X346: GBOKLE MILIEU 2 SEX 2 AGE 0_14"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5">
      <c r="A351" t="s">
        <v>403</v>
      </c>
      <c r="B351" s="7">
        <v>10325</v>
      </c>
      <c r="C351" s="8" t="s">
        <v>34</v>
      </c>
      <c r="D351" s="18">
        <v>2</v>
      </c>
      <c r="E351" s="18">
        <v>2</v>
      </c>
      <c r="F351" s="19" t="s">
        <v>9</v>
      </c>
      <c r="G351" s="20"/>
      <c r="H351" s="1" t="s">
        <v>55</v>
      </c>
      <c r="I351" s="1" t="str">
        <f t="shared" si="5"/>
        <v>X_Summary_Table$X_Labels[X_Summary_Table$X_Constraints=="X347"] &lt;- "X347: GBOKLE MILIEU 2 SEX 2 AGE 15_34"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5">
      <c r="A352" t="s">
        <v>404</v>
      </c>
      <c r="B352" s="7">
        <v>10325</v>
      </c>
      <c r="C352" s="8" t="s">
        <v>34</v>
      </c>
      <c r="D352" s="18">
        <v>2</v>
      </c>
      <c r="E352" s="18">
        <v>2</v>
      </c>
      <c r="F352" s="19" t="s">
        <v>10</v>
      </c>
      <c r="G352" s="20"/>
      <c r="H352" s="1" t="s">
        <v>55</v>
      </c>
      <c r="I352" s="1" t="str">
        <f t="shared" si="5"/>
        <v>X_Summary_Table$X_Labels[X_Summary_Table$X_Constraints=="X348"] &lt;- "X348: GBOKLE MILIEU 2 SEX 2 AGE 35_plus"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5">
      <c r="A353" t="s">
        <v>405</v>
      </c>
      <c r="B353" s="7">
        <v>10926</v>
      </c>
      <c r="C353" s="8" t="s">
        <v>35</v>
      </c>
      <c r="D353" s="9">
        <v>1</v>
      </c>
      <c r="E353" s="9">
        <v>1</v>
      </c>
      <c r="F353" s="10" t="s">
        <v>8</v>
      </c>
      <c r="G353" s="11"/>
      <c r="H353" s="1" t="s">
        <v>55</v>
      </c>
      <c r="I353" s="1" t="str">
        <f t="shared" si="5"/>
        <v>X_Summary_Table$X_Labels[X_Summary_Table$X_Constraints=="X349"] &lt;- "X349: GRAND-PONTS MILIEU 1 SEX 1 AGE 0_14"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5">
      <c r="A354" t="s">
        <v>406</v>
      </c>
      <c r="B354" s="7">
        <v>10926</v>
      </c>
      <c r="C354" s="8" t="s">
        <v>35</v>
      </c>
      <c r="D354" s="9">
        <v>1</v>
      </c>
      <c r="E354" s="9">
        <v>1</v>
      </c>
      <c r="F354" s="10" t="s">
        <v>9</v>
      </c>
      <c r="G354" s="11"/>
      <c r="H354" s="1" t="s">
        <v>55</v>
      </c>
      <c r="I354" s="1" t="str">
        <f t="shared" si="5"/>
        <v>X_Summary_Table$X_Labels[X_Summary_Table$X_Constraints=="X350"] &lt;- "X350: GRAND-PONTS MILIEU 1 SEX 1 AGE 15_34"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5">
      <c r="A355" t="s">
        <v>407</v>
      </c>
      <c r="B355" s="7">
        <v>10926</v>
      </c>
      <c r="C355" s="8" t="s">
        <v>35</v>
      </c>
      <c r="D355" s="9">
        <v>1</v>
      </c>
      <c r="E355" s="9">
        <v>1</v>
      </c>
      <c r="F355" s="10" t="s">
        <v>10</v>
      </c>
      <c r="G355" s="11"/>
      <c r="H355" s="1" t="s">
        <v>55</v>
      </c>
      <c r="I355" s="1" t="str">
        <f t="shared" si="5"/>
        <v>X_Summary_Table$X_Labels[X_Summary_Table$X_Constraints=="X351"] &lt;- "X351: GRAND-PONTS MILIEU 1 SEX 1 AGE 35_plus"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5">
      <c r="A356" t="s">
        <v>408</v>
      </c>
      <c r="B356" s="7">
        <v>10926</v>
      </c>
      <c r="C356" s="8" t="s">
        <v>35</v>
      </c>
      <c r="D356" s="12">
        <v>1</v>
      </c>
      <c r="E356" s="12">
        <v>2</v>
      </c>
      <c r="F356" s="13" t="s">
        <v>8</v>
      </c>
      <c r="G356" s="14"/>
      <c r="H356" s="1" t="s">
        <v>55</v>
      </c>
      <c r="I356" s="1" t="str">
        <f t="shared" si="5"/>
        <v>X_Summary_Table$X_Labels[X_Summary_Table$X_Constraints=="X352"] &lt;- "X352: GRAND-PONTS MILIEU 2 SEX 1 AGE 0_14"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5">
      <c r="A357" t="s">
        <v>409</v>
      </c>
      <c r="B357" s="7">
        <v>10926</v>
      </c>
      <c r="C357" s="8" t="s">
        <v>35</v>
      </c>
      <c r="D357" s="12">
        <v>1</v>
      </c>
      <c r="E357" s="12">
        <v>2</v>
      </c>
      <c r="F357" s="13" t="s">
        <v>9</v>
      </c>
      <c r="G357" s="14"/>
      <c r="H357" s="1" t="s">
        <v>55</v>
      </c>
      <c r="I357" s="1" t="str">
        <f t="shared" si="5"/>
        <v>X_Summary_Table$X_Labels[X_Summary_Table$X_Constraints=="X353"] &lt;- "X353: GRAND-PONTS MILIEU 2 SEX 1 AGE 15_34"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5">
      <c r="A358" t="s">
        <v>410</v>
      </c>
      <c r="B358" s="7">
        <v>10926</v>
      </c>
      <c r="C358" s="8" t="s">
        <v>35</v>
      </c>
      <c r="D358" s="12">
        <v>1</v>
      </c>
      <c r="E358" s="12">
        <v>2</v>
      </c>
      <c r="F358" s="13" t="s">
        <v>10</v>
      </c>
      <c r="G358" s="14"/>
      <c r="H358" s="1" t="s">
        <v>55</v>
      </c>
      <c r="I358" s="1" t="str">
        <f t="shared" si="5"/>
        <v>X_Summary_Table$X_Labels[X_Summary_Table$X_Constraints=="X354"] &lt;- "X354: GRAND-PONTS MILIEU 2 SEX 1 AGE 35_plus"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5">
      <c r="A359" t="s">
        <v>411</v>
      </c>
      <c r="B359" s="7">
        <v>10926</v>
      </c>
      <c r="C359" s="8" t="s">
        <v>35</v>
      </c>
      <c r="D359" s="15">
        <v>2</v>
      </c>
      <c r="E359" s="15">
        <v>1</v>
      </c>
      <c r="F359" s="16" t="s">
        <v>8</v>
      </c>
      <c r="G359" s="17"/>
      <c r="H359" s="1" t="s">
        <v>55</v>
      </c>
      <c r="I359" s="1" t="str">
        <f t="shared" si="5"/>
        <v>X_Summary_Table$X_Labels[X_Summary_Table$X_Constraints=="X355"] &lt;- "X355: GRAND-PONTS MILIEU 1 SEX 2 AGE 0_14"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5">
      <c r="A360" t="s">
        <v>412</v>
      </c>
      <c r="B360" s="7">
        <v>10926</v>
      </c>
      <c r="C360" s="8" t="s">
        <v>35</v>
      </c>
      <c r="D360" s="15">
        <v>2</v>
      </c>
      <c r="E360" s="15">
        <v>1</v>
      </c>
      <c r="F360" s="16" t="s">
        <v>9</v>
      </c>
      <c r="G360" s="17"/>
      <c r="H360" s="1" t="s">
        <v>55</v>
      </c>
      <c r="I360" s="1" t="str">
        <f t="shared" si="5"/>
        <v>X_Summary_Table$X_Labels[X_Summary_Table$X_Constraints=="X356"] &lt;- "X356: GRAND-PONTS MILIEU 1 SEX 2 AGE 15_34"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5">
      <c r="A361" t="s">
        <v>413</v>
      </c>
      <c r="B361" s="7">
        <v>10926</v>
      </c>
      <c r="C361" s="8" t="s">
        <v>35</v>
      </c>
      <c r="D361" s="15">
        <v>2</v>
      </c>
      <c r="E361" s="15">
        <v>1</v>
      </c>
      <c r="F361" s="16" t="s">
        <v>10</v>
      </c>
      <c r="G361" s="17"/>
      <c r="H361" s="1" t="s">
        <v>55</v>
      </c>
      <c r="I361" s="1" t="str">
        <f t="shared" si="5"/>
        <v>X_Summary_Table$X_Labels[X_Summary_Table$X_Constraints=="X357"] &lt;- "X357: GRAND-PONTS MILIEU 1 SEX 2 AGE 35_plus"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5">
      <c r="A362" t="s">
        <v>414</v>
      </c>
      <c r="B362" s="7">
        <v>10926</v>
      </c>
      <c r="C362" s="8" t="s">
        <v>35</v>
      </c>
      <c r="D362" s="18">
        <v>2</v>
      </c>
      <c r="E362" s="18">
        <v>2</v>
      </c>
      <c r="F362" s="19" t="s">
        <v>8</v>
      </c>
      <c r="G362" s="20"/>
      <c r="H362" s="1" t="s">
        <v>55</v>
      </c>
      <c r="I362" s="1" t="str">
        <f t="shared" si="5"/>
        <v>X_Summary_Table$X_Labels[X_Summary_Table$X_Constraints=="X358"] &lt;- "X358: GRAND-PONTS MILIEU 2 SEX 2 AGE 0_14"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5">
      <c r="A363" t="s">
        <v>415</v>
      </c>
      <c r="B363" s="7">
        <v>10926</v>
      </c>
      <c r="C363" s="8" t="s">
        <v>35</v>
      </c>
      <c r="D363" s="18">
        <v>2</v>
      </c>
      <c r="E363" s="18">
        <v>2</v>
      </c>
      <c r="F363" s="19" t="s">
        <v>9</v>
      </c>
      <c r="G363" s="20"/>
      <c r="H363" s="1" t="s">
        <v>55</v>
      </c>
      <c r="I363" s="1" t="str">
        <f t="shared" si="5"/>
        <v>X_Summary_Table$X_Labels[X_Summary_Table$X_Constraints=="X359"] &lt;- "X359: GRAND-PONTS MILIEU 2 SEX 2 AGE 15_34"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5">
      <c r="A364" t="s">
        <v>416</v>
      </c>
      <c r="B364" s="7">
        <v>10926</v>
      </c>
      <c r="C364" s="8" t="s">
        <v>35</v>
      </c>
      <c r="D364" s="18">
        <v>2</v>
      </c>
      <c r="E364" s="18">
        <v>2</v>
      </c>
      <c r="F364" s="19" t="s">
        <v>10</v>
      </c>
      <c r="G364" s="20"/>
      <c r="H364" s="1" t="s">
        <v>55</v>
      </c>
      <c r="I364" s="1" t="str">
        <f t="shared" si="5"/>
        <v>X_Summary_Table$X_Labels[X_Summary_Table$X_Constraints=="X360"] &lt;- "X360: GRAND-PONTS MILIEU 2 SEX 2 AGE 35_plus"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5">
      <c r="A365" t="s">
        <v>417</v>
      </c>
      <c r="B365" s="7">
        <v>11027</v>
      </c>
      <c r="C365" s="8" t="s">
        <v>36</v>
      </c>
      <c r="D365" s="9">
        <v>1</v>
      </c>
      <c r="E365" s="9">
        <v>1</v>
      </c>
      <c r="F365" s="10" t="s">
        <v>8</v>
      </c>
      <c r="G365" s="11"/>
      <c r="H365" s="1" t="s">
        <v>55</v>
      </c>
      <c r="I365" s="1" t="str">
        <f t="shared" si="5"/>
        <v>X_Summary_Table$X_Labels[X_Summary_Table$X_Constraints=="X361"] &lt;- "X361: GUEMON MILIEU 1 SEX 1 AGE 0_14"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5">
      <c r="A366" t="s">
        <v>418</v>
      </c>
      <c r="B366" s="7">
        <v>11027</v>
      </c>
      <c r="C366" s="8" t="s">
        <v>36</v>
      </c>
      <c r="D366" s="9">
        <v>1</v>
      </c>
      <c r="E366" s="9">
        <v>1</v>
      </c>
      <c r="F366" s="10" t="s">
        <v>9</v>
      </c>
      <c r="G366" s="11"/>
      <c r="H366" s="1" t="s">
        <v>55</v>
      </c>
      <c r="I366" s="1" t="str">
        <f t="shared" si="5"/>
        <v>X_Summary_Table$X_Labels[X_Summary_Table$X_Constraints=="X362"] &lt;- "X362: GUEMON MILIEU 1 SEX 1 AGE 15_34"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5">
      <c r="A367" t="s">
        <v>419</v>
      </c>
      <c r="B367" s="7">
        <v>11027</v>
      </c>
      <c r="C367" s="8" t="s">
        <v>36</v>
      </c>
      <c r="D367" s="9">
        <v>1</v>
      </c>
      <c r="E367" s="9">
        <v>1</v>
      </c>
      <c r="F367" s="10" t="s">
        <v>10</v>
      </c>
      <c r="G367" s="11"/>
      <c r="H367" s="1" t="s">
        <v>55</v>
      </c>
      <c r="I367" s="1" t="str">
        <f t="shared" si="5"/>
        <v>X_Summary_Table$X_Labels[X_Summary_Table$X_Constraints=="X363"] &lt;- "X363: GUEMON MILIEU 1 SEX 1 AGE 35_plus"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5">
      <c r="A368" t="s">
        <v>420</v>
      </c>
      <c r="B368" s="7">
        <v>11027</v>
      </c>
      <c r="C368" s="8" t="s">
        <v>36</v>
      </c>
      <c r="D368" s="12">
        <v>1</v>
      </c>
      <c r="E368" s="12">
        <v>2</v>
      </c>
      <c r="F368" s="13" t="s">
        <v>8</v>
      </c>
      <c r="G368" s="14"/>
      <c r="H368" s="1" t="s">
        <v>55</v>
      </c>
      <c r="I368" s="1" t="str">
        <f t="shared" si="5"/>
        <v>X_Summary_Table$X_Labels[X_Summary_Table$X_Constraints=="X364"] &lt;- "X364: GUEMON MILIEU 2 SEX 1 AGE 0_14"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5">
      <c r="A369" t="s">
        <v>421</v>
      </c>
      <c r="B369" s="7">
        <v>11027</v>
      </c>
      <c r="C369" s="8" t="s">
        <v>36</v>
      </c>
      <c r="D369" s="12">
        <v>1</v>
      </c>
      <c r="E369" s="12">
        <v>2</v>
      </c>
      <c r="F369" s="13" t="s">
        <v>9</v>
      </c>
      <c r="G369" s="14"/>
      <c r="H369" s="1" t="s">
        <v>55</v>
      </c>
      <c r="I369" s="1" t="str">
        <f t="shared" si="5"/>
        <v>X_Summary_Table$X_Labels[X_Summary_Table$X_Constraints=="X365"] &lt;- "X365: GUEMON MILIEU 2 SEX 1 AGE 15_34"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5">
      <c r="A370" t="s">
        <v>422</v>
      </c>
      <c r="B370" s="7">
        <v>11027</v>
      </c>
      <c r="C370" s="8" t="s">
        <v>36</v>
      </c>
      <c r="D370" s="12">
        <v>1</v>
      </c>
      <c r="E370" s="12">
        <v>2</v>
      </c>
      <c r="F370" s="13" t="s">
        <v>10</v>
      </c>
      <c r="G370" s="14"/>
      <c r="H370" s="1" t="s">
        <v>55</v>
      </c>
      <c r="I370" s="1" t="str">
        <f t="shared" si="5"/>
        <v>X_Summary_Table$X_Labels[X_Summary_Table$X_Constraints=="X366"] &lt;- "X366: GUEMON MILIEU 2 SEX 1 AGE 35_plus"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5">
      <c r="A371" t="s">
        <v>423</v>
      </c>
      <c r="B371" s="7">
        <v>11027</v>
      </c>
      <c r="C371" s="8" t="s">
        <v>36</v>
      </c>
      <c r="D371" s="15">
        <v>2</v>
      </c>
      <c r="E371" s="15">
        <v>1</v>
      </c>
      <c r="F371" s="16" t="s">
        <v>8</v>
      </c>
      <c r="G371" s="17"/>
      <c r="H371" s="1" t="s">
        <v>55</v>
      </c>
      <c r="I371" s="1" t="str">
        <f t="shared" si="5"/>
        <v>X_Summary_Table$X_Labels[X_Summary_Table$X_Constraints=="X367"] &lt;- "X367: GUEMON MILIEU 1 SEX 2 AGE 0_14"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5">
      <c r="A372" t="s">
        <v>424</v>
      </c>
      <c r="B372" s="7">
        <v>11027</v>
      </c>
      <c r="C372" s="8" t="s">
        <v>36</v>
      </c>
      <c r="D372" s="15">
        <v>2</v>
      </c>
      <c r="E372" s="15">
        <v>1</v>
      </c>
      <c r="F372" s="16" t="s">
        <v>9</v>
      </c>
      <c r="G372" s="17"/>
      <c r="H372" s="1" t="s">
        <v>55</v>
      </c>
      <c r="I372" s="1" t="str">
        <f t="shared" si="5"/>
        <v>X_Summary_Table$X_Labels[X_Summary_Table$X_Constraints=="X368"] &lt;- "X368: GUEMON MILIEU 1 SEX 2 AGE 15_34"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5">
      <c r="A373" t="s">
        <v>425</v>
      </c>
      <c r="B373" s="7">
        <v>11027</v>
      </c>
      <c r="C373" s="8" t="s">
        <v>36</v>
      </c>
      <c r="D373" s="15">
        <v>2</v>
      </c>
      <c r="E373" s="15">
        <v>1</v>
      </c>
      <c r="F373" s="16" t="s">
        <v>10</v>
      </c>
      <c r="G373" s="17"/>
      <c r="H373" s="1" t="s">
        <v>55</v>
      </c>
      <c r="I373" s="1" t="str">
        <f t="shared" si="5"/>
        <v>X_Summary_Table$X_Labels[X_Summary_Table$X_Constraints=="X369"] &lt;- "X369: GUEMON MILIEU 1 SEX 2 AGE 35_plus"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5">
      <c r="A374" t="s">
        <v>426</v>
      </c>
      <c r="B374" s="7">
        <v>11027</v>
      </c>
      <c r="C374" s="8" t="s">
        <v>36</v>
      </c>
      <c r="D374" s="18">
        <v>2</v>
      </c>
      <c r="E374" s="18">
        <v>2</v>
      </c>
      <c r="F374" s="19" t="s">
        <v>8</v>
      </c>
      <c r="G374" s="20"/>
      <c r="H374" s="1" t="s">
        <v>55</v>
      </c>
      <c r="I374" s="1" t="str">
        <f t="shared" ref="I374:I437" si="6">"X_Summary_Table$X_Labels[X_Summary_Table$X_Constraints==" &amp; H374 &amp; A374 &amp; H374 &amp; "] &lt;- " &amp; H374 &amp; A374 &amp; ": " &amp; C374 &amp; " MILIEU " &amp; E374 &amp;" SEX " &amp; D374 &amp;" AGE "&amp; F374 &amp; H374</f>
        <v>X_Summary_Table$X_Labels[X_Summary_Table$X_Constraints=="X370"] &lt;- "X370: GUEMON MILIEU 2 SEX 2 AGE 0_14"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5">
      <c r="A375" t="s">
        <v>427</v>
      </c>
      <c r="B375" s="7">
        <v>11027</v>
      </c>
      <c r="C375" s="8" t="s">
        <v>36</v>
      </c>
      <c r="D375" s="18">
        <v>2</v>
      </c>
      <c r="E375" s="18">
        <v>2</v>
      </c>
      <c r="F375" s="19" t="s">
        <v>9</v>
      </c>
      <c r="G375" s="20"/>
      <c r="H375" s="1" t="s">
        <v>55</v>
      </c>
      <c r="I375" s="1" t="str">
        <f t="shared" si="6"/>
        <v>X_Summary_Table$X_Labels[X_Summary_Table$X_Constraints=="X371"] &lt;- "X371: GUEMON MILIEU 2 SEX 2 AGE 15_34"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5">
      <c r="A376" t="s">
        <v>428</v>
      </c>
      <c r="B376" s="7">
        <v>11027</v>
      </c>
      <c r="C376" s="8" t="s">
        <v>36</v>
      </c>
      <c r="D376" s="18">
        <v>2</v>
      </c>
      <c r="E376" s="18">
        <v>2</v>
      </c>
      <c r="F376" s="19" t="s">
        <v>10</v>
      </c>
      <c r="G376" s="20"/>
      <c r="H376" s="1" t="s">
        <v>55</v>
      </c>
      <c r="I376" s="1" t="str">
        <f t="shared" si="6"/>
        <v>X_Summary_Table$X_Labels[X_Summary_Table$X_Constraints=="X372"] &lt;- "X372: GUEMON MILIEU 2 SEX 2 AGE 35_plus"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5">
      <c r="A377" t="s">
        <v>429</v>
      </c>
      <c r="B377" s="7">
        <v>11228</v>
      </c>
      <c r="C377" s="8" t="s">
        <v>37</v>
      </c>
      <c r="D377" s="9">
        <v>1</v>
      </c>
      <c r="E377" s="9">
        <v>1</v>
      </c>
      <c r="F377" s="10" t="s">
        <v>8</v>
      </c>
      <c r="G377" s="11"/>
      <c r="H377" s="1" t="s">
        <v>55</v>
      </c>
      <c r="I377" s="1" t="str">
        <f t="shared" si="6"/>
        <v>X_Summary_Table$X_Labels[X_Summary_Table$X_Constraints=="X373"] &lt;- "X373: HAMBOL MILIEU 1 SEX 1 AGE 0_14"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5">
      <c r="A378" t="s">
        <v>430</v>
      </c>
      <c r="B378" s="7">
        <v>11228</v>
      </c>
      <c r="C378" s="8" t="s">
        <v>37</v>
      </c>
      <c r="D378" s="9">
        <v>1</v>
      </c>
      <c r="E378" s="9">
        <v>1</v>
      </c>
      <c r="F378" s="10" t="s">
        <v>9</v>
      </c>
      <c r="G378" s="11"/>
      <c r="H378" s="1" t="s">
        <v>55</v>
      </c>
      <c r="I378" s="1" t="str">
        <f t="shared" si="6"/>
        <v>X_Summary_Table$X_Labels[X_Summary_Table$X_Constraints=="X374"] &lt;- "X374: HAMBOL MILIEU 1 SEX 1 AGE 15_34"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5">
      <c r="A379" t="s">
        <v>431</v>
      </c>
      <c r="B379" s="7">
        <v>11228</v>
      </c>
      <c r="C379" s="8" t="s">
        <v>37</v>
      </c>
      <c r="D379" s="9">
        <v>1</v>
      </c>
      <c r="E379" s="9">
        <v>1</v>
      </c>
      <c r="F379" s="10" t="s">
        <v>10</v>
      </c>
      <c r="G379" s="11"/>
      <c r="H379" s="1" t="s">
        <v>55</v>
      </c>
      <c r="I379" s="1" t="str">
        <f t="shared" si="6"/>
        <v>X_Summary_Table$X_Labels[X_Summary_Table$X_Constraints=="X375"] &lt;- "X375: HAMBOL MILIEU 1 SEX 1 AGE 35_plus"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5">
      <c r="A380" t="s">
        <v>432</v>
      </c>
      <c r="B380" s="7">
        <v>11228</v>
      </c>
      <c r="C380" s="8" t="s">
        <v>37</v>
      </c>
      <c r="D380" s="12">
        <v>1</v>
      </c>
      <c r="E380" s="12">
        <v>2</v>
      </c>
      <c r="F380" s="13" t="s">
        <v>8</v>
      </c>
      <c r="G380" s="14"/>
      <c r="H380" s="1" t="s">
        <v>55</v>
      </c>
      <c r="I380" s="1" t="str">
        <f t="shared" si="6"/>
        <v>X_Summary_Table$X_Labels[X_Summary_Table$X_Constraints=="X376"] &lt;- "X376: HAMBOL MILIEU 2 SEX 1 AGE 0_14"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5">
      <c r="A381" t="s">
        <v>433</v>
      </c>
      <c r="B381" s="7">
        <v>11228</v>
      </c>
      <c r="C381" s="8" t="s">
        <v>37</v>
      </c>
      <c r="D381" s="12">
        <v>1</v>
      </c>
      <c r="E381" s="12">
        <v>2</v>
      </c>
      <c r="F381" s="13" t="s">
        <v>9</v>
      </c>
      <c r="G381" s="14"/>
      <c r="H381" s="1" t="s">
        <v>55</v>
      </c>
      <c r="I381" s="1" t="str">
        <f t="shared" si="6"/>
        <v>X_Summary_Table$X_Labels[X_Summary_Table$X_Constraints=="X377"] &lt;- "X377: HAMBOL MILIEU 2 SEX 1 AGE 15_34"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5">
      <c r="A382" t="s">
        <v>434</v>
      </c>
      <c r="B382" s="7">
        <v>11228</v>
      </c>
      <c r="C382" s="8" t="s">
        <v>37</v>
      </c>
      <c r="D382" s="12">
        <v>1</v>
      </c>
      <c r="E382" s="12">
        <v>2</v>
      </c>
      <c r="F382" s="13" t="s">
        <v>10</v>
      </c>
      <c r="G382" s="14"/>
      <c r="H382" s="1" t="s">
        <v>55</v>
      </c>
      <c r="I382" s="1" t="str">
        <f t="shared" si="6"/>
        <v>X_Summary_Table$X_Labels[X_Summary_Table$X_Constraints=="X378"] &lt;- "X378: HAMBOL MILIEU 2 SEX 1 AGE 35_plus"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5">
      <c r="A383" t="s">
        <v>435</v>
      </c>
      <c r="B383" s="7">
        <v>11228</v>
      </c>
      <c r="C383" s="8" t="s">
        <v>37</v>
      </c>
      <c r="D383" s="15">
        <v>2</v>
      </c>
      <c r="E383" s="15">
        <v>1</v>
      </c>
      <c r="F383" s="16" t="s">
        <v>8</v>
      </c>
      <c r="G383" s="17"/>
      <c r="H383" s="1" t="s">
        <v>55</v>
      </c>
      <c r="I383" s="1" t="str">
        <f t="shared" si="6"/>
        <v>X_Summary_Table$X_Labels[X_Summary_Table$X_Constraints=="X379"] &lt;- "X379: HAMBOL MILIEU 1 SEX 2 AGE 0_14"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5">
      <c r="A384" t="s">
        <v>436</v>
      </c>
      <c r="B384" s="7">
        <v>11228</v>
      </c>
      <c r="C384" s="8" t="s">
        <v>37</v>
      </c>
      <c r="D384" s="15">
        <v>2</v>
      </c>
      <c r="E384" s="15">
        <v>1</v>
      </c>
      <c r="F384" s="16" t="s">
        <v>9</v>
      </c>
      <c r="G384" s="17"/>
      <c r="H384" s="1" t="s">
        <v>55</v>
      </c>
      <c r="I384" s="1" t="str">
        <f t="shared" si="6"/>
        <v>X_Summary_Table$X_Labels[X_Summary_Table$X_Constraints=="X380"] &lt;- "X380: HAMBOL MILIEU 1 SEX 2 AGE 15_34"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5">
      <c r="A385" t="s">
        <v>437</v>
      </c>
      <c r="B385" s="7">
        <v>11228</v>
      </c>
      <c r="C385" s="8" t="s">
        <v>37</v>
      </c>
      <c r="D385" s="15">
        <v>2</v>
      </c>
      <c r="E385" s="15">
        <v>1</v>
      </c>
      <c r="F385" s="16" t="s">
        <v>10</v>
      </c>
      <c r="G385" s="17"/>
      <c r="H385" s="1" t="s">
        <v>55</v>
      </c>
      <c r="I385" s="1" t="str">
        <f t="shared" si="6"/>
        <v>X_Summary_Table$X_Labels[X_Summary_Table$X_Constraints=="X381"] &lt;- "X381: HAMBOL MILIEU 1 SEX 2 AGE 35_plus"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5">
      <c r="A386" t="s">
        <v>438</v>
      </c>
      <c r="B386" s="7">
        <v>11228</v>
      </c>
      <c r="C386" s="8" t="s">
        <v>37</v>
      </c>
      <c r="D386" s="18">
        <v>2</v>
      </c>
      <c r="E386" s="18">
        <v>2</v>
      </c>
      <c r="F386" s="19" t="s">
        <v>8</v>
      </c>
      <c r="G386" s="20"/>
      <c r="H386" s="1" t="s">
        <v>55</v>
      </c>
      <c r="I386" s="1" t="str">
        <f t="shared" si="6"/>
        <v>X_Summary_Table$X_Labels[X_Summary_Table$X_Constraints=="X382"] &lt;- "X382: HAMBOL MILIEU 2 SEX 2 AGE 0_14"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5">
      <c r="A387" t="s">
        <v>439</v>
      </c>
      <c r="B387" s="7">
        <v>11228</v>
      </c>
      <c r="C387" s="8" t="s">
        <v>37</v>
      </c>
      <c r="D387" s="18">
        <v>2</v>
      </c>
      <c r="E387" s="18">
        <v>2</v>
      </c>
      <c r="F387" s="19" t="s">
        <v>9</v>
      </c>
      <c r="G387" s="20"/>
      <c r="H387" s="1" t="s">
        <v>55</v>
      </c>
      <c r="I387" s="1" t="str">
        <f t="shared" si="6"/>
        <v>X_Summary_Table$X_Labels[X_Summary_Table$X_Constraints=="X383"] &lt;- "X383: HAMBOL MILIEU 2 SEX 2 AGE 15_34"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5">
      <c r="A388" t="s">
        <v>440</v>
      </c>
      <c r="B388" s="7">
        <v>11228</v>
      </c>
      <c r="C388" s="8" t="s">
        <v>37</v>
      </c>
      <c r="D388" s="18">
        <v>2</v>
      </c>
      <c r="E388" s="18">
        <v>2</v>
      </c>
      <c r="F388" s="19" t="s">
        <v>10</v>
      </c>
      <c r="G388" s="20"/>
      <c r="H388" s="1" t="s">
        <v>55</v>
      </c>
      <c r="I388" s="1" t="str">
        <f t="shared" si="6"/>
        <v>X_Summary_Table$X_Labels[X_Summary_Table$X_Constraints=="X384"] &lt;- "X384: HAMBOL MILIEU 2 SEX 2 AGE 35_plus"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5">
      <c r="A389" t="s">
        <v>441</v>
      </c>
      <c r="B389" s="7">
        <v>10829</v>
      </c>
      <c r="C389" s="8" t="s">
        <v>38</v>
      </c>
      <c r="D389" s="9">
        <v>1</v>
      </c>
      <c r="E389" s="9">
        <v>1</v>
      </c>
      <c r="F389" s="10" t="s">
        <v>8</v>
      </c>
      <c r="G389" s="11"/>
      <c r="H389" s="1" t="s">
        <v>55</v>
      </c>
      <c r="I389" s="1" t="str">
        <f t="shared" si="6"/>
        <v>X_Summary_Table$X_Labels[X_Summary_Table$X_Constraints=="X385"] &lt;- "X385: IFFOU MILIEU 1 SEX 1 AGE 0_14"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5">
      <c r="A390" t="s">
        <v>442</v>
      </c>
      <c r="B390" s="7">
        <v>10829</v>
      </c>
      <c r="C390" s="8" t="s">
        <v>38</v>
      </c>
      <c r="D390" s="9">
        <v>1</v>
      </c>
      <c r="E390" s="9">
        <v>1</v>
      </c>
      <c r="F390" s="10" t="s">
        <v>9</v>
      </c>
      <c r="G390" s="11"/>
      <c r="H390" s="1" t="s">
        <v>55</v>
      </c>
      <c r="I390" s="1" t="str">
        <f t="shared" si="6"/>
        <v>X_Summary_Table$X_Labels[X_Summary_Table$X_Constraints=="X386"] &lt;- "X386: IFFOU MILIEU 1 SEX 1 AGE 15_34"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5">
      <c r="A391" t="s">
        <v>443</v>
      </c>
      <c r="B391" s="7">
        <v>10829</v>
      </c>
      <c r="C391" s="8" t="s">
        <v>38</v>
      </c>
      <c r="D391" s="9">
        <v>1</v>
      </c>
      <c r="E391" s="9">
        <v>1</v>
      </c>
      <c r="F391" s="10" t="s">
        <v>10</v>
      </c>
      <c r="G391" s="11"/>
      <c r="H391" s="1" t="s">
        <v>55</v>
      </c>
      <c r="I391" s="1" t="str">
        <f t="shared" si="6"/>
        <v>X_Summary_Table$X_Labels[X_Summary_Table$X_Constraints=="X387"] &lt;- "X387: IFFOU MILIEU 1 SEX 1 AGE 35_plus"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5">
      <c r="A392" t="s">
        <v>444</v>
      </c>
      <c r="B392" s="7">
        <v>10829</v>
      </c>
      <c r="C392" s="8" t="s">
        <v>38</v>
      </c>
      <c r="D392" s="12">
        <v>1</v>
      </c>
      <c r="E392" s="12">
        <v>2</v>
      </c>
      <c r="F392" s="13" t="s">
        <v>8</v>
      </c>
      <c r="G392" s="14"/>
      <c r="H392" s="1" t="s">
        <v>55</v>
      </c>
      <c r="I392" s="1" t="str">
        <f t="shared" si="6"/>
        <v>X_Summary_Table$X_Labels[X_Summary_Table$X_Constraints=="X388"] &lt;- "X388: IFFOU MILIEU 2 SEX 1 AGE 0_14"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5">
      <c r="A393" t="s">
        <v>445</v>
      </c>
      <c r="B393" s="7">
        <v>10829</v>
      </c>
      <c r="C393" s="8" t="s">
        <v>38</v>
      </c>
      <c r="D393" s="12">
        <v>1</v>
      </c>
      <c r="E393" s="12">
        <v>2</v>
      </c>
      <c r="F393" s="13" t="s">
        <v>9</v>
      </c>
      <c r="G393" s="14"/>
      <c r="H393" s="1" t="s">
        <v>55</v>
      </c>
      <c r="I393" s="1" t="str">
        <f t="shared" si="6"/>
        <v>X_Summary_Table$X_Labels[X_Summary_Table$X_Constraints=="X389"] &lt;- "X389: IFFOU MILIEU 2 SEX 1 AGE 15_34"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5">
      <c r="A394" t="s">
        <v>446</v>
      </c>
      <c r="B394" s="7">
        <v>10829</v>
      </c>
      <c r="C394" s="8" t="s">
        <v>38</v>
      </c>
      <c r="D394" s="12">
        <v>1</v>
      </c>
      <c r="E394" s="12">
        <v>2</v>
      </c>
      <c r="F394" s="13" t="s">
        <v>10</v>
      </c>
      <c r="G394" s="14"/>
      <c r="H394" s="1" t="s">
        <v>55</v>
      </c>
      <c r="I394" s="1" t="str">
        <f t="shared" si="6"/>
        <v>X_Summary_Table$X_Labels[X_Summary_Table$X_Constraints=="X390"] &lt;- "X390: IFFOU MILIEU 2 SEX 1 AGE 35_plus"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5">
      <c r="A395" t="s">
        <v>447</v>
      </c>
      <c r="B395" s="7">
        <v>10829</v>
      </c>
      <c r="C395" s="8" t="s">
        <v>38</v>
      </c>
      <c r="D395" s="15">
        <v>2</v>
      </c>
      <c r="E395" s="15">
        <v>1</v>
      </c>
      <c r="F395" s="16" t="s">
        <v>8</v>
      </c>
      <c r="G395" s="17"/>
      <c r="H395" s="1" t="s">
        <v>55</v>
      </c>
      <c r="I395" s="1" t="str">
        <f t="shared" si="6"/>
        <v>X_Summary_Table$X_Labels[X_Summary_Table$X_Constraints=="X391"] &lt;- "X391: IFFOU MILIEU 1 SEX 2 AGE 0_14"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5">
      <c r="A396" t="s">
        <v>448</v>
      </c>
      <c r="B396" s="7">
        <v>10829</v>
      </c>
      <c r="C396" s="8" t="s">
        <v>38</v>
      </c>
      <c r="D396" s="15">
        <v>2</v>
      </c>
      <c r="E396" s="15">
        <v>1</v>
      </c>
      <c r="F396" s="16" t="s">
        <v>9</v>
      </c>
      <c r="G396" s="17"/>
      <c r="H396" s="1" t="s">
        <v>55</v>
      </c>
      <c r="I396" s="1" t="str">
        <f t="shared" si="6"/>
        <v>X_Summary_Table$X_Labels[X_Summary_Table$X_Constraints=="X392"] &lt;- "X392: IFFOU MILIEU 1 SEX 2 AGE 15_34"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5">
      <c r="A397" t="s">
        <v>449</v>
      </c>
      <c r="B397" s="7">
        <v>10829</v>
      </c>
      <c r="C397" s="8" t="s">
        <v>38</v>
      </c>
      <c r="D397" s="15">
        <v>2</v>
      </c>
      <c r="E397" s="15">
        <v>1</v>
      </c>
      <c r="F397" s="16" t="s">
        <v>10</v>
      </c>
      <c r="G397" s="17"/>
      <c r="H397" s="1" t="s">
        <v>55</v>
      </c>
      <c r="I397" s="1" t="str">
        <f t="shared" si="6"/>
        <v>X_Summary_Table$X_Labels[X_Summary_Table$X_Constraints=="X393"] &lt;- "X393: IFFOU MILIEU 1 SEX 2 AGE 35_plus"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5">
      <c r="A398" t="s">
        <v>450</v>
      </c>
      <c r="B398" s="7">
        <v>10829</v>
      </c>
      <c r="C398" s="8" t="s">
        <v>38</v>
      </c>
      <c r="D398" s="18">
        <v>2</v>
      </c>
      <c r="E398" s="18">
        <v>2</v>
      </c>
      <c r="F398" s="19" t="s">
        <v>8</v>
      </c>
      <c r="G398" s="20"/>
      <c r="H398" s="1" t="s">
        <v>55</v>
      </c>
      <c r="I398" s="1" t="str">
        <f t="shared" si="6"/>
        <v>X_Summary_Table$X_Labels[X_Summary_Table$X_Constraints=="X394"] &lt;- "X394: IFFOU MILIEU 2 SEX 2 AGE 0_14"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5">
      <c r="A399" t="s">
        <v>451</v>
      </c>
      <c r="B399" s="7">
        <v>10829</v>
      </c>
      <c r="C399" s="8" t="s">
        <v>38</v>
      </c>
      <c r="D399" s="18">
        <v>2</v>
      </c>
      <c r="E399" s="18">
        <v>2</v>
      </c>
      <c r="F399" s="19" t="s">
        <v>9</v>
      </c>
      <c r="G399" s="20"/>
      <c r="H399" s="1" t="s">
        <v>55</v>
      </c>
      <c r="I399" s="1" t="str">
        <f t="shared" si="6"/>
        <v>X_Summary_Table$X_Labels[X_Summary_Table$X_Constraints=="X395"] &lt;- "X395: IFFOU MILIEU 2 SEX 2 AGE 15_34"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5">
      <c r="A400" t="s">
        <v>452</v>
      </c>
      <c r="B400" s="7">
        <v>10829</v>
      </c>
      <c r="C400" s="8" t="s">
        <v>38</v>
      </c>
      <c r="D400" s="18">
        <v>2</v>
      </c>
      <c r="E400" s="18">
        <v>2</v>
      </c>
      <c r="F400" s="19" t="s">
        <v>10</v>
      </c>
      <c r="G400" s="20"/>
      <c r="H400" s="1" t="s">
        <v>55</v>
      </c>
      <c r="I400" s="1" t="str">
        <f t="shared" si="6"/>
        <v>X_Summary_Table$X_Labels[X_Summary_Table$X_Constraints=="X396"] &lt;- "X396: IFFOU MILIEU 2 SEX 2 AGE 35_plus"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5">
      <c r="A401" t="s">
        <v>453</v>
      </c>
      <c r="B401" s="7">
        <v>10930</v>
      </c>
      <c r="C401" s="8" t="s">
        <v>39</v>
      </c>
      <c r="D401" s="9">
        <v>1</v>
      </c>
      <c r="E401" s="9">
        <v>1</v>
      </c>
      <c r="F401" s="10" t="s">
        <v>8</v>
      </c>
      <c r="G401" s="11"/>
      <c r="H401" s="1" t="s">
        <v>55</v>
      </c>
      <c r="I401" s="1" t="str">
        <f t="shared" si="6"/>
        <v>X_Summary_Table$X_Labels[X_Summary_Table$X_Constraints=="X397"] &lt;- "X397: LA ME MILIEU 1 SEX 1 AGE 0_14"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5">
      <c r="A402" t="s">
        <v>454</v>
      </c>
      <c r="B402" s="7">
        <v>10930</v>
      </c>
      <c r="C402" s="8" t="s">
        <v>39</v>
      </c>
      <c r="D402" s="9">
        <v>1</v>
      </c>
      <c r="E402" s="9">
        <v>1</v>
      </c>
      <c r="F402" s="10" t="s">
        <v>9</v>
      </c>
      <c r="G402" s="11"/>
      <c r="H402" s="1" t="s">
        <v>55</v>
      </c>
      <c r="I402" s="1" t="str">
        <f t="shared" si="6"/>
        <v>X_Summary_Table$X_Labels[X_Summary_Table$X_Constraints=="X398"] &lt;- "X398: LA ME MILIEU 1 SEX 1 AGE 15_34"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5">
      <c r="A403" t="s">
        <v>455</v>
      </c>
      <c r="B403" s="7">
        <v>10930</v>
      </c>
      <c r="C403" s="8" t="s">
        <v>39</v>
      </c>
      <c r="D403" s="9">
        <v>1</v>
      </c>
      <c r="E403" s="9">
        <v>1</v>
      </c>
      <c r="F403" s="10" t="s">
        <v>10</v>
      </c>
      <c r="G403" s="11"/>
      <c r="H403" s="1" t="s">
        <v>55</v>
      </c>
      <c r="I403" s="1" t="str">
        <f t="shared" si="6"/>
        <v>X_Summary_Table$X_Labels[X_Summary_Table$X_Constraints=="X399"] &lt;- "X399: LA ME MILIEU 1 SEX 1 AGE 35_plus"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5">
      <c r="A404" t="s">
        <v>456</v>
      </c>
      <c r="B404" s="7">
        <v>10930</v>
      </c>
      <c r="C404" s="8" t="s">
        <v>39</v>
      </c>
      <c r="D404" s="12">
        <v>1</v>
      </c>
      <c r="E404" s="12">
        <v>2</v>
      </c>
      <c r="F404" s="13" t="s">
        <v>8</v>
      </c>
      <c r="G404" s="14"/>
      <c r="H404" s="1" t="s">
        <v>55</v>
      </c>
      <c r="I404" s="1" t="str">
        <f t="shared" si="6"/>
        <v>X_Summary_Table$X_Labels[X_Summary_Table$X_Constraints=="X400"] &lt;- "X400: LA ME MILIEU 2 SEX 1 AGE 0_14"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5">
      <c r="A405" t="s">
        <v>457</v>
      </c>
      <c r="B405" s="7">
        <v>10930</v>
      </c>
      <c r="C405" s="8" t="s">
        <v>39</v>
      </c>
      <c r="D405" s="12">
        <v>1</v>
      </c>
      <c r="E405" s="12">
        <v>2</v>
      </c>
      <c r="F405" s="13" t="s">
        <v>9</v>
      </c>
      <c r="G405" s="14"/>
      <c r="H405" s="1" t="s">
        <v>55</v>
      </c>
      <c r="I405" s="1" t="str">
        <f t="shared" si="6"/>
        <v>X_Summary_Table$X_Labels[X_Summary_Table$X_Constraints=="X401"] &lt;- "X401: LA ME MILIEU 2 SEX 1 AGE 15_34"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5">
      <c r="A406" t="s">
        <v>458</v>
      </c>
      <c r="B406" s="7">
        <v>10930</v>
      </c>
      <c r="C406" s="8" t="s">
        <v>39</v>
      </c>
      <c r="D406" s="12">
        <v>1</v>
      </c>
      <c r="E406" s="12">
        <v>2</v>
      </c>
      <c r="F406" s="13" t="s">
        <v>10</v>
      </c>
      <c r="G406" s="14"/>
      <c r="H406" s="1" t="s">
        <v>55</v>
      </c>
      <c r="I406" s="1" t="str">
        <f t="shared" si="6"/>
        <v>X_Summary_Table$X_Labels[X_Summary_Table$X_Constraints=="X402"] &lt;- "X402: LA ME MILIEU 2 SEX 1 AGE 35_plus"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5">
      <c r="A407" t="s">
        <v>459</v>
      </c>
      <c r="B407" s="7">
        <v>10930</v>
      </c>
      <c r="C407" s="8" t="s">
        <v>39</v>
      </c>
      <c r="D407" s="15">
        <v>2</v>
      </c>
      <c r="E407" s="15">
        <v>1</v>
      </c>
      <c r="F407" s="16" t="s">
        <v>8</v>
      </c>
      <c r="G407" s="17"/>
      <c r="H407" s="1" t="s">
        <v>55</v>
      </c>
      <c r="I407" s="1" t="str">
        <f t="shared" si="6"/>
        <v>X_Summary_Table$X_Labels[X_Summary_Table$X_Constraints=="X403"] &lt;- "X403: LA ME MILIEU 1 SEX 2 AGE 0_14"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5">
      <c r="A408" t="s">
        <v>460</v>
      </c>
      <c r="B408" s="7">
        <v>10930</v>
      </c>
      <c r="C408" s="8" t="s">
        <v>39</v>
      </c>
      <c r="D408" s="15">
        <v>2</v>
      </c>
      <c r="E408" s="15">
        <v>1</v>
      </c>
      <c r="F408" s="16" t="s">
        <v>9</v>
      </c>
      <c r="G408" s="17"/>
      <c r="H408" s="1" t="s">
        <v>55</v>
      </c>
      <c r="I408" s="1" t="str">
        <f t="shared" si="6"/>
        <v>X_Summary_Table$X_Labels[X_Summary_Table$X_Constraints=="X404"] &lt;- "X404: LA ME MILIEU 1 SEX 2 AGE 15_34"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5">
      <c r="A409" t="s">
        <v>461</v>
      </c>
      <c r="B409" s="7">
        <v>10930</v>
      </c>
      <c r="C409" s="8" t="s">
        <v>39</v>
      </c>
      <c r="D409" s="15">
        <v>2</v>
      </c>
      <c r="E409" s="15">
        <v>1</v>
      </c>
      <c r="F409" s="16" t="s">
        <v>10</v>
      </c>
      <c r="G409" s="17"/>
      <c r="H409" s="1" t="s">
        <v>55</v>
      </c>
      <c r="I409" s="1" t="str">
        <f t="shared" si="6"/>
        <v>X_Summary_Table$X_Labels[X_Summary_Table$X_Constraints=="X405"] &lt;- "X405: LA ME MILIEU 1 SEX 2 AGE 35_plus"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5">
      <c r="A410" t="s">
        <v>462</v>
      </c>
      <c r="B410" s="7">
        <v>10930</v>
      </c>
      <c r="C410" s="8" t="s">
        <v>39</v>
      </c>
      <c r="D410" s="18">
        <v>2</v>
      </c>
      <c r="E410" s="18">
        <v>2</v>
      </c>
      <c r="F410" s="19" t="s">
        <v>8</v>
      </c>
      <c r="G410" s="20"/>
      <c r="H410" s="1" t="s">
        <v>55</v>
      </c>
      <c r="I410" s="1" t="str">
        <f t="shared" si="6"/>
        <v>X_Summary_Table$X_Labels[X_Summary_Table$X_Constraints=="X406"] &lt;- "X406: LA ME MILIEU 2 SEX 2 AGE 0_14"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5">
      <c r="A411" t="s">
        <v>463</v>
      </c>
      <c r="B411" s="7">
        <v>10930</v>
      </c>
      <c r="C411" s="8" t="s">
        <v>39</v>
      </c>
      <c r="D411" s="18">
        <v>2</v>
      </c>
      <c r="E411" s="18">
        <v>2</v>
      </c>
      <c r="F411" s="19" t="s">
        <v>9</v>
      </c>
      <c r="G411" s="20"/>
      <c r="H411" s="1" t="s">
        <v>55</v>
      </c>
      <c r="I411" s="1" t="str">
        <f t="shared" si="6"/>
        <v>X_Summary_Table$X_Labels[X_Summary_Table$X_Constraints=="X407"] &lt;- "X407: LA ME MILIEU 2 SEX 2 AGE 15_34"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5">
      <c r="A412" t="s">
        <v>464</v>
      </c>
      <c r="B412" s="7">
        <v>10930</v>
      </c>
      <c r="C412" s="8" t="s">
        <v>39</v>
      </c>
      <c r="D412" s="18">
        <v>2</v>
      </c>
      <c r="E412" s="18">
        <v>2</v>
      </c>
      <c r="F412" s="19" t="s">
        <v>10</v>
      </c>
      <c r="G412" s="20"/>
      <c r="H412" s="1" t="s">
        <v>55</v>
      </c>
      <c r="I412" s="1" t="str">
        <f t="shared" si="6"/>
        <v>X_Summary_Table$X_Labels[X_Summary_Table$X_Constraints=="X408"] &lt;- "X408: LA ME MILIEU 2 SEX 2 AGE 35_plus"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5">
      <c r="A413" t="s">
        <v>465</v>
      </c>
      <c r="B413" s="7">
        <v>10331</v>
      </c>
      <c r="C413" s="8" t="s">
        <v>40</v>
      </c>
      <c r="D413" s="9">
        <v>1</v>
      </c>
      <c r="E413" s="9">
        <v>1</v>
      </c>
      <c r="F413" s="10" t="s">
        <v>8</v>
      </c>
      <c r="G413" s="11"/>
      <c r="H413" s="1" t="s">
        <v>55</v>
      </c>
      <c r="I413" s="1" t="str">
        <f t="shared" si="6"/>
        <v>X_Summary_Table$X_Labels[X_Summary_Table$X_Constraints=="X409"] &lt;- "X409: NAWA MILIEU 1 SEX 1 AGE 0_14"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5">
      <c r="A414" t="s">
        <v>466</v>
      </c>
      <c r="B414" s="7">
        <v>10331</v>
      </c>
      <c r="C414" s="8" t="s">
        <v>40</v>
      </c>
      <c r="D414" s="9">
        <v>1</v>
      </c>
      <c r="E414" s="9">
        <v>1</v>
      </c>
      <c r="F414" s="10" t="s">
        <v>9</v>
      </c>
      <c r="G414" s="11"/>
      <c r="H414" s="1" t="s">
        <v>55</v>
      </c>
      <c r="I414" s="1" t="str">
        <f t="shared" si="6"/>
        <v>X_Summary_Table$X_Labels[X_Summary_Table$X_Constraints=="X410"] &lt;- "X410: NAWA MILIEU 1 SEX 1 AGE 15_34"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5">
      <c r="A415" t="s">
        <v>467</v>
      </c>
      <c r="B415" s="7">
        <v>10331</v>
      </c>
      <c r="C415" s="8" t="s">
        <v>40</v>
      </c>
      <c r="D415" s="9">
        <v>1</v>
      </c>
      <c r="E415" s="9">
        <v>1</v>
      </c>
      <c r="F415" s="10" t="s">
        <v>10</v>
      </c>
      <c r="G415" s="11"/>
      <c r="H415" s="1" t="s">
        <v>55</v>
      </c>
      <c r="I415" s="1" t="str">
        <f t="shared" si="6"/>
        <v>X_Summary_Table$X_Labels[X_Summary_Table$X_Constraints=="X411"] &lt;- "X411: NAWA MILIEU 1 SEX 1 AGE 35_plus"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5">
      <c r="A416" t="s">
        <v>468</v>
      </c>
      <c r="B416" s="7">
        <v>10331</v>
      </c>
      <c r="C416" s="8" t="s">
        <v>40</v>
      </c>
      <c r="D416" s="12">
        <v>1</v>
      </c>
      <c r="E416" s="12">
        <v>2</v>
      </c>
      <c r="F416" s="13" t="s">
        <v>8</v>
      </c>
      <c r="G416" s="14"/>
      <c r="H416" s="1" t="s">
        <v>55</v>
      </c>
      <c r="I416" s="1" t="str">
        <f t="shared" si="6"/>
        <v>X_Summary_Table$X_Labels[X_Summary_Table$X_Constraints=="X412"] &lt;- "X412: NAWA MILIEU 2 SEX 1 AGE 0_14"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5">
      <c r="A417" t="s">
        <v>469</v>
      </c>
      <c r="B417" s="7">
        <v>10331</v>
      </c>
      <c r="C417" s="8" t="s">
        <v>40</v>
      </c>
      <c r="D417" s="12">
        <v>1</v>
      </c>
      <c r="E417" s="12">
        <v>2</v>
      </c>
      <c r="F417" s="13" t="s">
        <v>9</v>
      </c>
      <c r="G417" s="14"/>
      <c r="H417" s="1" t="s">
        <v>55</v>
      </c>
      <c r="I417" s="1" t="str">
        <f t="shared" si="6"/>
        <v>X_Summary_Table$X_Labels[X_Summary_Table$X_Constraints=="X413"] &lt;- "X413: NAWA MILIEU 2 SEX 1 AGE 15_34"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5">
      <c r="A418" t="s">
        <v>470</v>
      </c>
      <c r="B418" s="7">
        <v>10331</v>
      </c>
      <c r="C418" s="8" t="s">
        <v>40</v>
      </c>
      <c r="D418" s="12">
        <v>1</v>
      </c>
      <c r="E418" s="12">
        <v>2</v>
      </c>
      <c r="F418" s="13" t="s">
        <v>10</v>
      </c>
      <c r="G418" s="14"/>
      <c r="H418" s="1" t="s">
        <v>55</v>
      </c>
      <c r="I418" s="1" t="str">
        <f t="shared" si="6"/>
        <v>X_Summary_Table$X_Labels[X_Summary_Table$X_Constraints=="X414"] &lt;- "X414: NAWA MILIEU 2 SEX 1 AGE 35_plus"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5">
      <c r="A419" t="s">
        <v>471</v>
      </c>
      <c r="B419" s="7">
        <v>10331</v>
      </c>
      <c r="C419" s="8" t="s">
        <v>40</v>
      </c>
      <c r="D419" s="15">
        <v>2</v>
      </c>
      <c r="E419" s="15">
        <v>1</v>
      </c>
      <c r="F419" s="16" t="s">
        <v>8</v>
      </c>
      <c r="G419" s="17"/>
      <c r="H419" s="1" t="s">
        <v>55</v>
      </c>
      <c r="I419" s="1" t="str">
        <f t="shared" si="6"/>
        <v>X_Summary_Table$X_Labels[X_Summary_Table$X_Constraints=="X415"] &lt;- "X415: NAWA MILIEU 1 SEX 2 AGE 0_14"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5">
      <c r="A420" t="s">
        <v>472</v>
      </c>
      <c r="B420" s="7">
        <v>10331</v>
      </c>
      <c r="C420" s="8" t="s">
        <v>40</v>
      </c>
      <c r="D420" s="15">
        <v>2</v>
      </c>
      <c r="E420" s="15">
        <v>1</v>
      </c>
      <c r="F420" s="16" t="s">
        <v>9</v>
      </c>
      <c r="G420" s="17"/>
      <c r="H420" s="1" t="s">
        <v>55</v>
      </c>
      <c r="I420" s="1" t="str">
        <f t="shared" si="6"/>
        <v>X_Summary_Table$X_Labels[X_Summary_Table$X_Constraints=="X416"] &lt;- "X416: NAWA MILIEU 1 SEX 2 AGE 15_34"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5">
      <c r="A421" t="s">
        <v>473</v>
      </c>
      <c r="B421" s="7">
        <v>10331</v>
      </c>
      <c r="C421" s="8" t="s">
        <v>40</v>
      </c>
      <c r="D421" s="15">
        <v>2</v>
      </c>
      <c r="E421" s="15">
        <v>1</v>
      </c>
      <c r="F421" s="16" t="s">
        <v>10</v>
      </c>
      <c r="G421" s="17"/>
      <c r="H421" s="1" t="s">
        <v>55</v>
      </c>
      <c r="I421" s="1" t="str">
        <f t="shared" si="6"/>
        <v>X_Summary_Table$X_Labels[X_Summary_Table$X_Constraints=="X417"] &lt;- "X417: NAWA MILIEU 1 SEX 2 AGE 35_plus"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5">
      <c r="A422" t="s">
        <v>474</v>
      </c>
      <c r="B422" s="7">
        <v>10331</v>
      </c>
      <c r="C422" s="8" t="s">
        <v>40</v>
      </c>
      <c r="D422" s="18">
        <v>2</v>
      </c>
      <c r="E422" s="18">
        <v>2</v>
      </c>
      <c r="F422" s="19" t="s">
        <v>8</v>
      </c>
      <c r="G422" s="20"/>
      <c r="H422" s="1" t="s">
        <v>55</v>
      </c>
      <c r="I422" s="1" t="str">
        <f t="shared" si="6"/>
        <v>X_Summary_Table$X_Labels[X_Summary_Table$X_Constraints=="X418"] &lt;- "X418: NAWA MILIEU 2 SEX 2 AGE 0_14"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5">
      <c r="A423" t="s">
        <v>475</v>
      </c>
      <c r="B423" s="7">
        <v>10331</v>
      </c>
      <c r="C423" s="8" t="s">
        <v>40</v>
      </c>
      <c r="D423" s="18">
        <v>2</v>
      </c>
      <c r="E423" s="18">
        <v>2</v>
      </c>
      <c r="F423" s="19" t="s">
        <v>9</v>
      </c>
      <c r="G423" s="20"/>
      <c r="H423" s="1" t="s">
        <v>55</v>
      </c>
      <c r="I423" s="1" t="str">
        <f t="shared" si="6"/>
        <v>X_Summary_Table$X_Labels[X_Summary_Table$X_Constraints=="X419"] &lt;- "X419: NAWA MILIEU 2 SEX 2 AGE 15_34"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5">
      <c r="A424" t="s">
        <v>476</v>
      </c>
      <c r="B424" s="7">
        <v>10331</v>
      </c>
      <c r="C424" s="8" t="s">
        <v>40</v>
      </c>
      <c r="D424" s="18">
        <v>2</v>
      </c>
      <c r="E424" s="18">
        <v>2</v>
      </c>
      <c r="F424" s="19" t="s">
        <v>10</v>
      </c>
      <c r="G424" s="20"/>
      <c r="H424" s="1" t="s">
        <v>55</v>
      </c>
      <c r="I424" s="1" t="str">
        <f t="shared" si="6"/>
        <v>X_Summary_Table$X_Labels[X_Summary_Table$X_Constraints=="X420"] &lt;- "X420: NAWA MILIEU 2 SEX 2 AGE 35_plus"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5">
      <c r="A425" t="s">
        <v>477</v>
      </c>
      <c r="B425" s="7">
        <v>11132</v>
      </c>
      <c r="C425" s="8" t="s">
        <v>41</v>
      </c>
      <c r="D425" s="9">
        <v>1</v>
      </c>
      <c r="E425" s="9">
        <v>1</v>
      </c>
      <c r="F425" s="10" t="s">
        <v>8</v>
      </c>
      <c r="G425" s="11"/>
      <c r="H425" s="1" t="s">
        <v>55</v>
      </c>
      <c r="I425" s="1" t="str">
        <f t="shared" si="6"/>
        <v>X_Summary_Table$X_Labels[X_Summary_Table$X_Constraints=="X421"] &lt;- "X421: TCHOLOGO MILIEU 1 SEX 1 AGE 0_14"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5">
      <c r="A426" t="s">
        <v>478</v>
      </c>
      <c r="B426" s="7">
        <v>11132</v>
      </c>
      <c r="C426" s="8" t="s">
        <v>41</v>
      </c>
      <c r="D426" s="9">
        <v>1</v>
      </c>
      <c r="E426" s="9">
        <v>1</v>
      </c>
      <c r="F426" s="10" t="s">
        <v>9</v>
      </c>
      <c r="G426" s="11"/>
      <c r="H426" s="1" t="s">
        <v>55</v>
      </c>
      <c r="I426" s="1" t="str">
        <f t="shared" si="6"/>
        <v>X_Summary_Table$X_Labels[X_Summary_Table$X_Constraints=="X422"] &lt;- "X422: TCHOLOGO MILIEU 1 SEX 1 AGE 15_34"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5">
      <c r="A427" t="s">
        <v>479</v>
      </c>
      <c r="B427" s="7">
        <v>11132</v>
      </c>
      <c r="C427" s="8" t="s">
        <v>41</v>
      </c>
      <c r="D427" s="9">
        <v>1</v>
      </c>
      <c r="E427" s="9">
        <v>1</v>
      </c>
      <c r="F427" s="10" t="s">
        <v>10</v>
      </c>
      <c r="G427" s="11"/>
      <c r="H427" s="1" t="s">
        <v>55</v>
      </c>
      <c r="I427" s="1" t="str">
        <f t="shared" si="6"/>
        <v>X_Summary_Table$X_Labels[X_Summary_Table$X_Constraints=="X423"] &lt;- "X423: TCHOLOGO MILIEU 1 SEX 1 AGE 35_plus"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5">
      <c r="A428" t="s">
        <v>480</v>
      </c>
      <c r="B428" s="7">
        <v>11132</v>
      </c>
      <c r="C428" s="8" t="s">
        <v>41</v>
      </c>
      <c r="D428" s="12">
        <v>1</v>
      </c>
      <c r="E428" s="12">
        <v>2</v>
      </c>
      <c r="F428" s="13" t="s">
        <v>8</v>
      </c>
      <c r="G428" s="14"/>
      <c r="H428" s="1" t="s">
        <v>55</v>
      </c>
      <c r="I428" s="1" t="str">
        <f t="shared" si="6"/>
        <v>X_Summary_Table$X_Labels[X_Summary_Table$X_Constraints=="X424"] &lt;- "X424: TCHOLOGO MILIEU 2 SEX 1 AGE 0_14"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5">
      <c r="A429" t="s">
        <v>481</v>
      </c>
      <c r="B429" s="7">
        <v>11132</v>
      </c>
      <c r="C429" s="8" t="s">
        <v>41</v>
      </c>
      <c r="D429" s="12">
        <v>1</v>
      </c>
      <c r="E429" s="12">
        <v>2</v>
      </c>
      <c r="F429" s="13" t="s">
        <v>9</v>
      </c>
      <c r="G429" s="14"/>
      <c r="H429" s="1" t="s">
        <v>55</v>
      </c>
      <c r="I429" s="1" t="str">
        <f t="shared" si="6"/>
        <v>X_Summary_Table$X_Labels[X_Summary_Table$X_Constraints=="X425"] &lt;- "X425: TCHOLOGO MILIEU 2 SEX 1 AGE 15_34"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5">
      <c r="A430" t="s">
        <v>482</v>
      </c>
      <c r="B430" s="7">
        <v>11132</v>
      </c>
      <c r="C430" s="8" t="s">
        <v>41</v>
      </c>
      <c r="D430" s="12">
        <v>1</v>
      </c>
      <c r="E430" s="12">
        <v>2</v>
      </c>
      <c r="F430" s="13" t="s">
        <v>10</v>
      </c>
      <c r="G430" s="14"/>
      <c r="H430" s="1" t="s">
        <v>55</v>
      </c>
      <c r="I430" s="1" t="str">
        <f t="shared" si="6"/>
        <v>X_Summary_Table$X_Labels[X_Summary_Table$X_Constraints=="X426"] &lt;- "X426: TCHOLOGO MILIEU 2 SEX 1 AGE 35_plus"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5">
      <c r="A431" t="s">
        <v>483</v>
      </c>
      <c r="B431" s="7">
        <v>11132</v>
      </c>
      <c r="C431" s="8" t="s">
        <v>41</v>
      </c>
      <c r="D431" s="15">
        <v>2</v>
      </c>
      <c r="E431" s="15">
        <v>1</v>
      </c>
      <c r="F431" s="16" t="s">
        <v>8</v>
      </c>
      <c r="G431" s="17"/>
      <c r="H431" s="1" t="s">
        <v>55</v>
      </c>
      <c r="I431" s="1" t="str">
        <f t="shared" si="6"/>
        <v>X_Summary_Table$X_Labels[X_Summary_Table$X_Constraints=="X427"] &lt;- "X427: TCHOLOGO MILIEU 1 SEX 2 AGE 0_14"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5">
      <c r="A432" t="s">
        <v>484</v>
      </c>
      <c r="B432" s="7">
        <v>11132</v>
      </c>
      <c r="C432" s="8" t="s">
        <v>41</v>
      </c>
      <c r="D432" s="15">
        <v>2</v>
      </c>
      <c r="E432" s="15">
        <v>1</v>
      </c>
      <c r="F432" s="16" t="s">
        <v>9</v>
      </c>
      <c r="G432" s="17"/>
      <c r="H432" s="1" t="s">
        <v>55</v>
      </c>
      <c r="I432" s="1" t="str">
        <f t="shared" si="6"/>
        <v>X_Summary_Table$X_Labels[X_Summary_Table$X_Constraints=="X428"] &lt;- "X428: TCHOLOGO MILIEU 1 SEX 2 AGE 15_34"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5">
      <c r="A433" t="s">
        <v>485</v>
      </c>
      <c r="B433" s="7">
        <v>11132</v>
      </c>
      <c r="C433" s="8" t="s">
        <v>41</v>
      </c>
      <c r="D433" s="15">
        <v>2</v>
      </c>
      <c r="E433" s="15">
        <v>1</v>
      </c>
      <c r="F433" s="16" t="s">
        <v>10</v>
      </c>
      <c r="G433" s="17"/>
      <c r="H433" s="1" t="s">
        <v>55</v>
      </c>
      <c r="I433" s="1" t="str">
        <f t="shared" si="6"/>
        <v>X_Summary_Table$X_Labels[X_Summary_Table$X_Constraints=="X429"] &lt;- "X429: TCHOLOGO MILIEU 1 SEX 2 AGE 35_plus"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5">
      <c r="A434" t="s">
        <v>486</v>
      </c>
      <c r="B434" s="7">
        <v>11132</v>
      </c>
      <c r="C434" s="8" t="s">
        <v>41</v>
      </c>
      <c r="D434" s="18">
        <v>2</v>
      </c>
      <c r="E434" s="18">
        <v>2</v>
      </c>
      <c r="F434" s="19" t="s">
        <v>8</v>
      </c>
      <c r="G434" s="20"/>
      <c r="H434" s="1" t="s">
        <v>55</v>
      </c>
      <c r="I434" s="1" t="str">
        <f t="shared" si="6"/>
        <v>X_Summary_Table$X_Labels[X_Summary_Table$X_Constraints=="X430"] &lt;- "X430: TCHOLOGO MILIEU 2 SEX 2 AGE 0_14"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5">
      <c r="A435" t="s">
        <v>487</v>
      </c>
      <c r="B435" s="7">
        <v>11132</v>
      </c>
      <c r="C435" s="8" t="s">
        <v>41</v>
      </c>
      <c r="D435" s="18">
        <v>2</v>
      </c>
      <c r="E435" s="18">
        <v>2</v>
      </c>
      <c r="F435" s="19" t="s">
        <v>9</v>
      </c>
      <c r="G435" s="20"/>
      <c r="H435" s="1" t="s">
        <v>55</v>
      </c>
      <c r="I435" s="1" t="str">
        <f t="shared" si="6"/>
        <v>X_Summary_Table$X_Labels[X_Summary_Table$X_Constraints=="X431"] &lt;- "X431: TCHOLOGO MILIEU 2 SEX 2 AGE 15_34"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5">
      <c r="A436" t="s">
        <v>488</v>
      </c>
      <c r="B436" s="7">
        <v>11132</v>
      </c>
      <c r="C436" s="8" t="s">
        <v>41</v>
      </c>
      <c r="D436" s="18">
        <v>2</v>
      </c>
      <c r="E436" s="18">
        <v>2</v>
      </c>
      <c r="F436" s="19" t="s">
        <v>10</v>
      </c>
      <c r="G436" s="20"/>
      <c r="H436" s="1" t="s">
        <v>55</v>
      </c>
      <c r="I436" s="1" t="str">
        <f t="shared" si="6"/>
        <v>X_Summary_Table$X_Labels[X_Summary_Table$X_Constraints=="X432"] &lt;- "X432: TCHOLOGO MILIEU 2 SEX 2 AGE 35_plus"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5">
      <c r="A437" t="s">
        <v>489</v>
      </c>
      <c r="B437" s="7">
        <v>10833</v>
      </c>
      <c r="C437" s="8" t="s">
        <v>42</v>
      </c>
      <c r="D437" s="9">
        <v>1</v>
      </c>
      <c r="E437" s="9">
        <v>1</v>
      </c>
      <c r="F437" s="10" t="s">
        <v>8</v>
      </c>
      <c r="G437" s="11"/>
      <c r="H437" s="1" t="s">
        <v>55</v>
      </c>
      <c r="I437" s="1" t="str">
        <f t="shared" si="6"/>
        <v>X_Summary_Table$X_Labels[X_Summary_Table$X_Constraints=="X433"] &lt;- "X433: MORONOU MILIEU 1 SEX 1 AGE 0_14"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5">
      <c r="A438" t="s">
        <v>490</v>
      </c>
      <c r="B438" s="7">
        <v>10833</v>
      </c>
      <c r="C438" s="8" t="s">
        <v>42</v>
      </c>
      <c r="D438" s="9">
        <v>1</v>
      </c>
      <c r="E438" s="9">
        <v>1</v>
      </c>
      <c r="F438" s="10" t="s">
        <v>9</v>
      </c>
      <c r="G438" s="11"/>
      <c r="H438" s="1" t="s">
        <v>55</v>
      </c>
      <c r="I438" s="1" t="str">
        <f t="shared" ref="I438:I448" si="7">"X_Summary_Table$X_Labels[X_Summary_Table$X_Constraints==" &amp; H438 &amp; A438 &amp; H438 &amp; "] &lt;- " &amp; H438 &amp; A438 &amp; ": " &amp; C438 &amp; " MILIEU " &amp; E438 &amp;" SEX " &amp; D438 &amp;" AGE "&amp; F438 &amp; H438</f>
        <v>X_Summary_Table$X_Labels[X_Summary_Table$X_Constraints=="X434"] &lt;- "X434: MORONOU MILIEU 1 SEX 1 AGE 15_34"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5">
      <c r="A439" t="s">
        <v>491</v>
      </c>
      <c r="B439" s="7">
        <v>10833</v>
      </c>
      <c r="C439" s="8" t="s">
        <v>42</v>
      </c>
      <c r="D439" s="9">
        <v>1</v>
      </c>
      <c r="E439" s="9">
        <v>1</v>
      </c>
      <c r="F439" s="10" t="s">
        <v>10</v>
      </c>
      <c r="G439" s="11"/>
      <c r="H439" s="1" t="s">
        <v>55</v>
      </c>
      <c r="I439" s="1" t="str">
        <f t="shared" si="7"/>
        <v>X_Summary_Table$X_Labels[X_Summary_Table$X_Constraints=="X435"] &lt;- "X435: MORONOU MILIEU 1 SEX 1 AGE 35_plus"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5">
      <c r="A440" t="s">
        <v>492</v>
      </c>
      <c r="B440" s="7">
        <v>10833</v>
      </c>
      <c r="C440" s="8" t="s">
        <v>42</v>
      </c>
      <c r="D440" s="12">
        <v>1</v>
      </c>
      <c r="E440" s="12">
        <v>2</v>
      </c>
      <c r="F440" s="13" t="s">
        <v>8</v>
      </c>
      <c r="G440" s="14"/>
      <c r="H440" s="1" t="s">
        <v>55</v>
      </c>
      <c r="I440" s="1" t="str">
        <f t="shared" si="7"/>
        <v>X_Summary_Table$X_Labels[X_Summary_Table$X_Constraints=="X436"] &lt;- "X436: MORONOU MILIEU 2 SEX 1 AGE 0_14"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5">
      <c r="A441" t="s">
        <v>493</v>
      </c>
      <c r="B441" s="7">
        <v>10833</v>
      </c>
      <c r="C441" s="8" t="s">
        <v>42</v>
      </c>
      <c r="D441" s="12">
        <v>1</v>
      </c>
      <c r="E441" s="12">
        <v>2</v>
      </c>
      <c r="F441" s="13" t="s">
        <v>9</v>
      </c>
      <c r="G441" s="14"/>
      <c r="H441" s="1" t="s">
        <v>55</v>
      </c>
      <c r="I441" s="1" t="str">
        <f t="shared" si="7"/>
        <v>X_Summary_Table$X_Labels[X_Summary_Table$X_Constraints=="X437"] &lt;- "X437: MORONOU MILIEU 2 SEX 1 AGE 15_34"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5">
      <c r="A442" t="s">
        <v>494</v>
      </c>
      <c r="B442" s="7">
        <v>10833</v>
      </c>
      <c r="C442" s="8" t="s">
        <v>42</v>
      </c>
      <c r="D442" s="12">
        <v>1</v>
      </c>
      <c r="E442" s="12">
        <v>2</v>
      </c>
      <c r="F442" s="13" t="s">
        <v>10</v>
      </c>
      <c r="G442" s="14"/>
      <c r="H442" s="1" t="s">
        <v>55</v>
      </c>
      <c r="I442" s="1" t="str">
        <f t="shared" si="7"/>
        <v>X_Summary_Table$X_Labels[X_Summary_Table$X_Constraints=="X438"] &lt;- "X438: MORONOU MILIEU 2 SEX 1 AGE 35_plus"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5">
      <c r="A443" t="s">
        <v>495</v>
      </c>
      <c r="B443" s="7">
        <v>10833</v>
      </c>
      <c r="C443" s="8" t="s">
        <v>42</v>
      </c>
      <c r="D443" s="15">
        <v>2</v>
      </c>
      <c r="E443" s="15">
        <v>1</v>
      </c>
      <c r="F443" s="16" t="s">
        <v>8</v>
      </c>
      <c r="G443" s="17"/>
      <c r="H443" s="1" t="s">
        <v>55</v>
      </c>
      <c r="I443" s="1" t="str">
        <f t="shared" si="7"/>
        <v>X_Summary_Table$X_Labels[X_Summary_Table$X_Constraints=="X439"] &lt;- "X439: MORONOU MILIEU 1 SEX 2 AGE 0_14"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5">
      <c r="A444" t="s">
        <v>496</v>
      </c>
      <c r="B444" s="7">
        <v>10833</v>
      </c>
      <c r="C444" s="8" t="s">
        <v>42</v>
      </c>
      <c r="D444" s="15">
        <v>2</v>
      </c>
      <c r="E444" s="15">
        <v>1</v>
      </c>
      <c r="F444" s="16" t="s">
        <v>9</v>
      </c>
      <c r="G444" s="17"/>
      <c r="H444" s="1" t="s">
        <v>55</v>
      </c>
      <c r="I444" s="1" t="str">
        <f t="shared" si="7"/>
        <v>X_Summary_Table$X_Labels[X_Summary_Table$X_Constraints=="X440"] &lt;- "X440: MORONOU MILIEU 1 SEX 2 AGE 15_34"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5">
      <c r="A445" t="s">
        <v>497</v>
      </c>
      <c r="B445" s="7">
        <v>10833</v>
      </c>
      <c r="C445" s="8" t="s">
        <v>42</v>
      </c>
      <c r="D445" s="15">
        <v>2</v>
      </c>
      <c r="E445" s="15">
        <v>1</v>
      </c>
      <c r="F445" s="16" t="s">
        <v>10</v>
      </c>
      <c r="G445" s="17"/>
      <c r="H445" s="1" t="s">
        <v>55</v>
      </c>
      <c r="I445" s="1" t="str">
        <f t="shared" si="7"/>
        <v>X_Summary_Table$X_Labels[X_Summary_Table$X_Constraints=="X441"] &lt;- "X441: MORONOU MILIEU 1 SEX 2 AGE 35_plus"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5">
      <c r="A446" t="s">
        <v>498</v>
      </c>
      <c r="B446" s="7">
        <v>10833</v>
      </c>
      <c r="C446" s="8" t="s">
        <v>42</v>
      </c>
      <c r="D446" s="18">
        <v>2</v>
      </c>
      <c r="E446" s="18">
        <v>2</v>
      </c>
      <c r="F446" s="19" t="s">
        <v>8</v>
      </c>
      <c r="G446" s="20"/>
      <c r="H446" s="1" t="s">
        <v>55</v>
      </c>
      <c r="I446" s="1" t="str">
        <f t="shared" si="7"/>
        <v>X_Summary_Table$X_Labels[X_Summary_Table$X_Constraints=="X442"] &lt;- "X442: MORONOU MILIEU 2 SEX 2 AGE 0_14"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5">
      <c r="A447" t="s">
        <v>499</v>
      </c>
      <c r="B447" s="7">
        <v>10833</v>
      </c>
      <c r="C447" s="8" t="s">
        <v>42</v>
      </c>
      <c r="D447" s="18">
        <v>2</v>
      </c>
      <c r="E447" s="18">
        <v>2</v>
      </c>
      <c r="F447" s="19" t="s">
        <v>9</v>
      </c>
      <c r="G447" s="20"/>
      <c r="H447" s="1" t="s">
        <v>55</v>
      </c>
      <c r="I447" s="1" t="str">
        <f t="shared" si="7"/>
        <v>X_Summary_Table$X_Labels[X_Summary_Table$X_Constraints=="X443"] &lt;- "X443: MORONOU MILIEU 2 SEX 2 AGE 15_34"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5">
      <c r="A448" t="s">
        <v>500</v>
      </c>
      <c r="B448" s="7">
        <v>10833</v>
      </c>
      <c r="C448" s="8" t="s">
        <v>42</v>
      </c>
      <c r="D448" s="18">
        <v>2</v>
      </c>
      <c r="E448" s="18">
        <v>2</v>
      </c>
      <c r="F448" s="19" t="s">
        <v>10</v>
      </c>
      <c r="G448" s="20"/>
      <c r="H448" s="1" t="s">
        <v>55</v>
      </c>
      <c r="I448" s="1" t="str">
        <f t="shared" si="7"/>
        <v>X_Summary_Table$X_Labels[X_Summary_Table$X_Constraints=="X444"] &lt;- "X444: MORONOU MILIEU 2 SEX 2 AGE 35_plus"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4.25" customHeight="1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4.25" customHeight="1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4.25" customHeight="1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4.25" customHeight="1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4.25" customHeight="1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4.25" customHeight="1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4.25" customHeight="1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4.25" customHeight="1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4.25" customHeight="1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4.25" customHeight="1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4.25" customHeight="1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4.25" customHeight="1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4.25" customHeight="1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4.25" customHeight="1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4.25" customHeight="1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4.25" customHeight="1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4.25" customHeight="1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4.25" customHeight="1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4.25" customHeight="1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4.25" customHeight="1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4.25" customHeight="1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4.25" customHeight="1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4.25" customHeight="1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4.25" customHeight="1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4.25" customHeight="1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4.25" customHeight="1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4.25" customHeight="1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4.25" customHeight="1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4.25" customHeight="1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4.25" customHeight="1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4.25" customHeight="1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4.25" customHeight="1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4.25" customHeight="1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4.25" customHeight="1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4.25" customHeight="1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4.25" customHeight="1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4.25" customHeight="1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4.25" customHeight="1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4.25" customHeight="1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4.25" customHeight="1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4.25" customHeight="1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4.25" customHeight="1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4.25" customHeight="1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4.25" customHeight="1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4.25" customHeight="1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4.25" customHeight="1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4.25" customHeight="1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4.25" customHeight="1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4.25" customHeight="1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4.25" customHeight="1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4.25" customHeight="1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4.25" customHeight="1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4.25" customHeight="1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4.25" customHeight="1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4.25" customHeight="1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4.25" customHeight="1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4.25" customHeight="1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4.25" customHeight="1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4.25" customHeight="1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4.25" customHeight="1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4.25" customHeight="1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4.25" customHeight="1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4.25" customHeight="1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4.25" customHeight="1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4.25" customHeight="1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4.25" customHeight="1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4.25" customHeight="1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4.25" customHeight="1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4.25" customHeight="1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4.25" customHeight="1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4.25" customHeight="1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4.25" customHeight="1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4.25" customHeight="1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4.25" customHeight="1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4.25" customHeight="1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4.25" customHeight="1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4.25" customHeight="1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4.25" customHeight="1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4.25" customHeight="1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4.25" customHeight="1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4.25" customHeight="1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4.25" customHeight="1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4.25" customHeight="1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4.25" customHeight="1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4.25" customHeight="1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4.25" customHeight="1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4.25" customHeight="1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4.25" customHeight="1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4.25" customHeight="1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4.25" customHeight="1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4.25" customHeight="1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4.25" customHeight="1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4.25" customHeight="1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4.25" customHeight="1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4.25" customHeight="1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4.25" customHeight="1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4.25" customHeight="1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4.25" customHeight="1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4.25" customHeight="1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4.25" customHeight="1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4.25" customHeight="1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4.25" customHeight="1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4.25" customHeight="1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4.25" customHeight="1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4.25" customHeight="1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4.25" customHeight="1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4.25" customHeight="1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4.25" customHeight="1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4.25" customHeight="1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4.25" customHeight="1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4.25" customHeight="1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4.25" customHeight="1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4.25" customHeight="1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4.25" customHeight="1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4.25" customHeight="1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4.25" customHeight="1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4.25" customHeight="1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4.25" customHeight="1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4.25" customHeight="1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4.25" customHeight="1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4.25" customHeight="1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4.25" customHeight="1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4.25" customHeight="1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4.25" customHeight="1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4.25" customHeight="1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4.25" customHeight="1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4.25" customHeight="1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4.25" customHeight="1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4.25" customHeight="1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4.25" customHeight="1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4.25" customHeight="1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4.25" customHeight="1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4.25" customHeight="1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4.25" customHeight="1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4.25" customHeight="1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4.25" customHeight="1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4.25" customHeight="1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4.25" customHeight="1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4.25" customHeight="1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4.25" customHeight="1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4.25" customHeight="1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4.25" customHeight="1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4.25" customHeight="1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4.25" customHeight="1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4.25" customHeight="1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4.25" customHeight="1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4.25" customHeight="1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4.25" customHeight="1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4.25" customHeight="1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4.25" customHeight="1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4.25" customHeight="1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4.25" customHeight="1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4.25" customHeight="1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4.25" customHeight="1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4.25" customHeight="1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4.25" customHeight="1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4.25" customHeight="1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4.25" customHeight="1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4.25" customHeight="1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4.25" customHeight="1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4.25" customHeight="1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4.25" customHeight="1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4.25" customHeight="1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4.25" customHeight="1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4.25" customHeight="1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4.25" customHeight="1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4.25" customHeight="1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4.25" customHeight="1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4.25" customHeight="1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4.25" customHeight="1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4.25" customHeight="1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4.25" customHeight="1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4.25" customHeight="1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4.25" customHeight="1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4.25" customHeight="1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4.25" customHeight="1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C2:AA2"/>
  </mergeCells>
  <phoneticPr fontId="11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model_444X_1D 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Franck Arnold Junior Migone</cp:lastModifiedBy>
  <dcterms:modified xsi:type="dcterms:W3CDTF">2025-09-16T17:25:21Z</dcterms:modified>
</cp:coreProperties>
</file>